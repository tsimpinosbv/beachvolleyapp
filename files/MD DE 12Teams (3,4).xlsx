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G:\Το Drive μου\Panhellenic Championship\SAMPLES\ΑΓΩΝΙΣΤΙΚΟ\"/>
    </mc:Choice>
  </mc:AlternateContent>
  <xr:revisionPtr revIDLastSave="0" documentId="8_{487D825F-7949-4FAA-9CF9-567E1BADF488}" xr6:coauthVersionLast="47" xr6:coauthVersionMax="47" xr10:uidLastSave="{00000000-0000-0000-0000-000000000000}"/>
  <bookViews>
    <workbookView xWindow="-15" yWindow="-15" windowWidth="10200" windowHeight="10830" tabRatio="675" xr2:uid="{00000000-000D-0000-FFFF-FFFF00000000}"/>
  </bookViews>
  <sheets>
    <sheet name="Αρχική Λίστα" sheetId="1" r:id="rId1"/>
    <sheet name="Αποτελεσματα" sheetId="2" r:id="rId2"/>
    <sheet name="Ταμπλώ (12)" sheetId="3" r:id="rId3"/>
    <sheet name="Τελική Κατάταξη" sheetId="4" r:id="rId4"/>
  </sheets>
  <definedNames>
    <definedName name="_Fill" hidden="1">#REF!</definedName>
    <definedName name="_xlnm.Print_Area" localSheetId="1">Αποτελεσματα!$A$1:$M$24</definedName>
    <definedName name="_xlnm.Print_Area" localSheetId="0">'Αρχική Λίστα'!$A$1:$C$14</definedName>
    <definedName name="_xlnm.Print_Area" localSheetId="2">'Ταμπλώ (12)'!$A$1:$I$40</definedName>
    <definedName name="_xlnm.Print_Area" localSheetId="3">'Τελική Κατάταξη'!$A$1:$D$14</definedName>
    <definedName name="_xlnm.Print_Area">#REF!</definedName>
    <definedName name="_xlnm.Print_Titles">Αποτελεσματα!$2:$2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4" l="1"/>
  <c r="D13" i="4"/>
  <c r="D12" i="4"/>
  <c r="D11" i="4"/>
  <c r="D10" i="4"/>
  <c r="D9" i="4"/>
  <c r="D8" i="4"/>
  <c r="D7" i="4"/>
  <c r="D6" i="4"/>
  <c r="D5" i="4"/>
  <c r="D4" i="4"/>
  <c r="D3" i="4"/>
  <c r="H5" i="2"/>
  <c r="A32" i="3" s="1"/>
  <c r="H4" i="2"/>
  <c r="A17" i="3" s="1"/>
  <c r="I5" i="3"/>
  <c r="I6" i="3"/>
  <c r="B9" i="3"/>
  <c r="H9" i="3"/>
  <c r="A10" i="3"/>
  <c r="B10" i="3"/>
  <c r="A11" i="3"/>
  <c r="E11" i="3"/>
  <c r="H11" i="3"/>
  <c r="C13" i="3"/>
  <c r="E13" i="3"/>
  <c r="G13" i="3"/>
  <c r="I13" i="3"/>
  <c r="I14" i="3"/>
  <c r="A15" i="3"/>
  <c r="C15" i="3"/>
  <c r="G15" i="3"/>
  <c r="A16" i="3"/>
  <c r="B18" i="3"/>
  <c r="B19" i="3"/>
  <c r="E23" i="3"/>
  <c r="E25" i="3"/>
  <c r="I25" i="3"/>
  <c r="I26" i="3"/>
  <c r="B29" i="3"/>
  <c r="H29" i="3"/>
  <c r="A30" i="3"/>
  <c r="B30" i="3"/>
  <c r="A31" i="3"/>
  <c r="E31" i="3"/>
  <c r="H31" i="3"/>
  <c r="G32" i="3"/>
  <c r="C33" i="3"/>
  <c r="E33" i="3"/>
  <c r="I33" i="3"/>
  <c r="G34" i="3"/>
  <c r="I34" i="3"/>
  <c r="A35" i="3"/>
  <c r="C35" i="3"/>
  <c r="A36" i="3"/>
  <c r="B38" i="3"/>
  <c r="B39" i="3"/>
  <c r="F3" i="2"/>
  <c r="A9" i="3" s="1"/>
  <c r="H3" i="2"/>
  <c r="A12" i="3" s="1"/>
  <c r="F4" i="2"/>
  <c r="A14" i="3" s="1"/>
  <c r="F5" i="2"/>
  <c r="A29" i="3" s="1"/>
  <c r="F6" i="2"/>
  <c r="A34" i="3" s="1"/>
  <c r="H6" i="2"/>
  <c r="A37" i="3" s="1"/>
  <c r="F7" i="2"/>
  <c r="B7" i="3" s="1"/>
  <c r="H7" i="2"/>
  <c r="B11" i="3" s="1"/>
  <c r="F8" i="2"/>
  <c r="B20" i="3" s="1"/>
  <c r="F9" i="2"/>
  <c r="B27" i="3" s="1"/>
  <c r="H9" i="2"/>
  <c r="B31" i="3" s="1"/>
  <c r="F10" i="2"/>
  <c r="B40" i="3" s="1"/>
  <c r="H10" i="2"/>
  <c r="B36" i="3" s="1"/>
  <c r="F11" i="2"/>
  <c r="I3" i="3" s="1"/>
  <c r="F12" i="2"/>
  <c r="I11" i="3" s="1"/>
  <c r="F14" i="2"/>
  <c r="I31" i="3" s="1"/>
  <c r="F17" i="2"/>
  <c r="H5" i="3" s="1"/>
  <c r="F15" i="2"/>
  <c r="C9" i="3" s="1"/>
  <c r="F13" i="2"/>
  <c r="I23" i="3" s="1"/>
  <c r="H12" i="2"/>
  <c r="I15" i="3" s="1"/>
  <c r="H16" i="2" l="1"/>
  <c r="C38" i="3" s="1"/>
  <c r="F19" i="2"/>
  <c r="G9" i="3" s="1"/>
  <c r="H13" i="2"/>
  <c r="I27" i="3" s="1"/>
  <c r="H11" i="2"/>
  <c r="I7" i="3" s="1"/>
  <c r="H14" i="2"/>
  <c r="I35" i="3" s="1"/>
  <c r="H8" i="2"/>
  <c r="F16" i="2"/>
  <c r="H19" i="2" s="1"/>
  <c r="H17" i="2"/>
  <c r="H13" i="3" s="1"/>
  <c r="H18" i="2"/>
  <c r="F21" i="2"/>
  <c r="G17" i="3" l="1"/>
  <c r="H21" i="2"/>
  <c r="F18" i="2"/>
  <c r="H25" i="3" s="1"/>
  <c r="B16" i="3"/>
  <c r="H15" i="2"/>
  <c r="C29" i="3"/>
  <c r="F22" i="2"/>
  <c r="H33" i="3"/>
  <c r="F20" i="2"/>
  <c r="D13" i="3"/>
  <c r="F24" i="2"/>
  <c r="E19" i="3" s="1"/>
  <c r="F23" i="2" l="1"/>
  <c r="F13" i="3"/>
  <c r="H23" i="2"/>
  <c r="D33" i="3"/>
  <c r="C18" i="3"/>
  <c r="H20" i="2"/>
  <c r="G37" i="3" s="1"/>
  <c r="G29" i="3"/>
  <c r="H22" i="2"/>
  <c r="F33" i="3" l="1"/>
  <c r="H24" i="2"/>
  <c r="E27" i="3" s="1"/>
</calcChain>
</file>

<file path=xl/sharedStrings.xml><?xml version="1.0" encoding="utf-8"?>
<sst xmlns="http://schemas.openxmlformats.org/spreadsheetml/2006/main" count="89" uniqueCount="33">
  <si>
    <t>vs</t>
  </si>
  <si>
    <t>Τελικός</t>
  </si>
  <si>
    <t>Κατάταξη</t>
  </si>
  <si>
    <t>Ομάδα</t>
  </si>
  <si>
    <t>Ομάδες</t>
  </si>
  <si>
    <t>Βαθμοί Ομάδας</t>
  </si>
  <si>
    <t>Θέση</t>
  </si>
  <si>
    <t>Έπαθλα Ομάδας</t>
  </si>
  <si>
    <t>Έπαθλα Αθλητή</t>
  </si>
  <si>
    <t>-</t>
  </si>
  <si>
    <t>I</t>
  </si>
  <si>
    <t>II</t>
  </si>
  <si>
    <t>III</t>
  </si>
  <si>
    <t>Ημ.</t>
  </si>
  <si>
    <t>Τελ</t>
  </si>
  <si>
    <t xml:space="preserve">    </t>
  </si>
  <si>
    <t>POINTS</t>
  </si>
  <si>
    <t>Match
Number</t>
  </si>
  <si>
    <t>Round</t>
  </si>
  <si>
    <t>Date</t>
  </si>
  <si>
    <t>Time</t>
  </si>
  <si>
    <t>Court</t>
  </si>
  <si>
    <t>Team 1</t>
  </si>
  <si>
    <t>Team 2</t>
  </si>
  <si>
    <t>Set</t>
  </si>
  <si>
    <t>Points</t>
  </si>
  <si>
    <t>Duration</t>
  </si>
  <si>
    <t xml:space="preserve"> </t>
  </si>
  <si>
    <t>3-4</t>
  </si>
  <si>
    <t>ΠΑΝΕΛΛΗΝΙΟ ΠΡΩΤΑΘΛΗΜΑ ΒΕΑCH VOLLEY 20YY
TOURNAMENT  DD-DD MONTH
START LIST
 GENDER</t>
  </si>
  <si>
    <t>ΠΑΝΕΛΛΗΝΙΟ ΠΡΩΤΑΘΛΗΜΑ ΒΕΑCH VOLLEY 20YY
TOURNAMENT  DD-DD MONTH
RESULTS  GENDER</t>
  </si>
  <si>
    <t>ΠΑΝΕΛΛΗΝΙΟ ΠΡΩΤΑΘΛΗΜΑ ΒΕΑCH VOLLEY 20YY
TOURNAMENT  DD-DD MONTH
ΚΑΤΑΤΑΞΗ
 GENDER</t>
  </si>
  <si>
    <t>Βαθμοί Αθλητή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</si>
</sst>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.00"/>
    <numFmt numFmtId="165" formatCode="dd/mm/yy;@"/>
    <numFmt numFmtId="166" formatCode="h:mm;@"/>
  </numFmts>
  <fonts count="22" x14ac:knownFonts="1">
    <font>
      <sz val="10"/>
      <name val="Arial"/>
    </font>
    <font>
      <sz val="10"/>
      <name val="Arial"/>
      <family val="2"/>
      <charset val="161"/>
    </font>
    <font>
      <sz val="10"/>
      <name val="MS Sans Serif"/>
      <family val="2"/>
      <charset val="161"/>
    </font>
    <font>
      <sz val="10"/>
      <name val="Lucida Sans Unicode"/>
      <family val="2"/>
      <charset val="161"/>
    </font>
    <font>
      <sz val="10"/>
      <color indexed="8"/>
      <name val="Lucida Sans Unicode"/>
      <family val="2"/>
      <charset val="161"/>
    </font>
    <font>
      <sz val="7"/>
      <name val="Lucida Sans Unicode"/>
      <family val="2"/>
      <charset val="161"/>
    </font>
    <font>
      <b/>
      <sz val="9"/>
      <name val="Lucida Sans Unicode"/>
      <family val="2"/>
      <charset val="161"/>
    </font>
    <font>
      <sz val="7"/>
      <color indexed="8"/>
      <name val="Lucida Sans Unicode"/>
      <family val="2"/>
      <charset val="161"/>
    </font>
    <font>
      <b/>
      <sz val="9"/>
      <color indexed="8"/>
      <name val="Lucida Sans Unicode"/>
      <family val="2"/>
      <charset val="161"/>
    </font>
    <font>
      <b/>
      <sz val="7"/>
      <color indexed="8"/>
      <name val="Lucida Sans Unicode"/>
      <family val="2"/>
      <charset val="161"/>
    </font>
    <font>
      <sz val="9"/>
      <color indexed="8"/>
      <name val="Lucida Sans Unicode"/>
      <family val="2"/>
      <charset val="161"/>
    </font>
    <font>
      <u/>
      <sz val="8"/>
      <color indexed="8"/>
      <name val="Lucida Sans Unicode"/>
      <family val="2"/>
      <charset val="161"/>
    </font>
    <font>
      <sz val="8"/>
      <color indexed="8"/>
      <name val="Lucida Sans Unicode"/>
      <family val="2"/>
      <charset val="161"/>
    </font>
    <font>
      <b/>
      <sz val="8"/>
      <color indexed="8"/>
      <name val="Lucida Sans Unicode"/>
      <family val="2"/>
      <charset val="161"/>
    </font>
    <font>
      <b/>
      <sz val="11"/>
      <name val="Lucida Sans Unicode"/>
      <family val="2"/>
      <charset val="161"/>
    </font>
    <font>
      <b/>
      <sz val="10"/>
      <name val="Arial"/>
      <family val="2"/>
      <charset val="161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indexed="9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indexed="6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13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37" fontId="6" fillId="2" borderId="3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7" fontId="5" fillId="0" borderId="3" xfId="0" applyNumberFormat="1" applyFont="1" applyBorder="1" applyAlignment="1">
      <alignment horizontal="left" vertical="center"/>
    </xf>
    <xf numFmtId="37" fontId="5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37" fontId="6" fillId="2" borderId="8" xfId="0" applyNumberFormat="1" applyFont="1" applyFill="1" applyBorder="1" applyAlignment="1">
      <alignment horizontal="center" vertical="center"/>
    </xf>
    <xf numFmtId="37" fontId="5" fillId="0" borderId="5" xfId="0" applyNumberFormat="1" applyFont="1" applyBorder="1" applyAlignment="1">
      <alignment horizontal="left" vertical="center"/>
    </xf>
    <xf numFmtId="37" fontId="5" fillId="0" borderId="6" xfId="0" applyNumberFormat="1" applyFont="1" applyBorder="1" applyAlignment="1">
      <alignment horizontal="right" vertical="center"/>
    </xf>
    <xf numFmtId="37" fontId="5" fillId="0" borderId="8" xfId="0" applyNumberFormat="1" applyFont="1" applyBorder="1" applyAlignment="1">
      <alignment horizontal="right" vertical="center"/>
    </xf>
    <xf numFmtId="37" fontId="5" fillId="0" borderId="9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right" vertical="center"/>
    </xf>
    <xf numFmtId="37" fontId="8" fillId="2" borderId="0" xfId="0" applyNumberFormat="1" applyFont="1" applyFill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3" fillId="0" borderId="3" xfId="0" applyFont="1" applyBorder="1"/>
    <xf numFmtId="37" fontId="5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37" fontId="6" fillId="2" borderId="10" xfId="0" applyNumberFormat="1" applyFont="1" applyFill="1" applyBorder="1" applyAlignment="1">
      <alignment horizontal="center" vertical="center"/>
    </xf>
    <xf numFmtId="0" fontId="3" fillId="0" borderId="7" xfId="0" applyFont="1" applyBorder="1"/>
    <xf numFmtId="0" fontId="10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7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/>
    <xf numFmtId="37" fontId="13" fillId="2" borderId="0" xfId="0" applyNumberFormat="1" applyFont="1" applyFill="1" applyAlignment="1">
      <alignment horizontal="center" vertical="center"/>
    </xf>
    <xf numFmtId="37" fontId="5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/>
    <xf numFmtId="37" fontId="5" fillId="0" borderId="11" xfId="0" applyNumberFormat="1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7" fontId="6" fillId="3" borderId="0" xfId="0" applyNumberFormat="1" applyFont="1" applyFill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164" fontId="1" fillId="0" borderId="12" xfId="0" applyNumberFormat="1" applyFont="1" applyBorder="1" applyAlignment="1" applyProtection="1">
      <alignment horizontal="center" vertical="center"/>
      <protection locked="0"/>
    </xf>
    <xf numFmtId="164" fontId="1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7" fillId="0" borderId="38" xfId="0" applyFont="1" applyBorder="1" applyAlignment="1" applyProtection="1">
      <alignment horizontal="center" vertical="top" wrapText="1"/>
      <protection locked="0"/>
    </xf>
    <xf numFmtId="0" fontId="17" fillId="0" borderId="39" xfId="0" applyFont="1" applyBorder="1" applyAlignment="1" applyProtection="1">
      <alignment horizontal="center" vertical="top" wrapText="1"/>
      <protection locked="0"/>
    </xf>
    <xf numFmtId="0" fontId="17" fillId="0" borderId="40" xfId="0" applyFont="1" applyBorder="1" applyAlignment="1" applyProtection="1">
      <alignment horizontal="center" vertical="top" wrapText="1"/>
      <protection locked="0"/>
    </xf>
    <xf numFmtId="0" fontId="17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 textRotation="90" wrapText="1"/>
    </xf>
    <xf numFmtId="0" fontId="17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top" wrapText="1"/>
    </xf>
    <xf numFmtId="0" fontId="17" fillId="0" borderId="12" xfId="0" applyFont="1" applyBorder="1" applyAlignment="1">
      <alignment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0" borderId="41" xfId="0" applyFont="1" applyBorder="1" applyAlignment="1" applyProtection="1">
      <alignment horizontal="center" vertical="top" wrapText="1"/>
      <protection locked="0"/>
    </xf>
    <xf numFmtId="0" fontId="17" fillId="0" borderId="42" xfId="0" applyFont="1" applyBorder="1" applyAlignment="1" applyProtection="1">
      <alignment horizontal="center" vertical="top" wrapText="1"/>
      <protection locked="0"/>
    </xf>
    <xf numFmtId="0" fontId="17" fillId="0" borderId="13" xfId="0" applyFont="1" applyBorder="1"/>
    <xf numFmtId="0" fontId="17" fillId="0" borderId="14" xfId="0" applyFont="1" applyBorder="1" applyAlignment="1">
      <alignment horizontal="center" vertical="center" textRotation="90" wrapText="1"/>
    </xf>
    <xf numFmtId="0" fontId="17" fillId="0" borderId="15" xfId="0" applyFont="1" applyBorder="1" applyAlignment="1">
      <alignment horizontal="center" vertical="center" textRotation="90" wrapText="1"/>
    </xf>
    <xf numFmtId="165" fontId="17" fillId="0" borderId="15" xfId="0" applyNumberFormat="1" applyFont="1" applyBorder="1" applyAlignment="1">
      <alignment horizontal="center" vertical="center" textRotation="90" wrapText="1"/>
    </xf>
    <xf numFmtId="166" fontId="17" fillId="0" borderId="15" xfId="0" applyNumberFormat="1" applyFont="1" applyBorder="1" applyAlignment="1">
      <alignment horizontal="center" vertical="center" textRotation="90" wrapText="1"/>
    </xf>
    <xf numFmtId="0" fontId="18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textRotation="90" wrapText="1"/>
    </xf>
    <xf numFmtId="0" fontId="17" fillId="0" borderId="13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49" fontId="17" fillId="0" borderId="17" xfId="0" applyNumberFormat="1" applyFont="1" applyBorder="1" applyAlignment="1" applyProtection="1">
      <alignment horizontal="center" vertical="center"/>
      <protection locked="0"/>
    </xf>
    <xf numFmtId="0" fontId="17" fillId="0" borderId="17" xfId="0" applyFont="1" applyBorder="1" applyAlignment="1">
      <alignment horizontal="center" vertical="center"/>
    </xf>
    <xf numFmtId="0" fontId="19" fillId="0" borderId="17" xfId="0" applyFont="1" applyBorder="1" applyAlignment="1" applyProtection="1">
      <alignment horizontal="center" vertical="center"/>
      <protection locked="0"/>
    </xf>
    <xf numFmtId="0" fontId="17" fillId="0" borderId="21" xfId="0" applyFont="1" applyBorder="1" applyAlignment="1" applyProtection="1">
      <alignment horizontal="center" vertical="center"/>
      <protection locked="0"/>
    </xf>
    <xf numFmtId="0" fontId="17" fillId="0" borderId="24" xfId="0" applyFont="1" applyBorder="1" applyAlignment="1">
      <alignment horizontal="center" vertical="center"/>
    </xf>
    <xf numFmtId="49" fontId="17" fillId="0" borderId="12" xfId="0" applyNumberFormat="1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0" borderId="25" xfId="0" applyFont="1" applyBorder="1" applyAlignment="1">
      <alignment horizontal="center" vertical="center"/>
    </xf>
    <xf numFmtId="49" fontId="17" fillId="0" borderId="18" xfId="0" applyNumberFormat="1" applyFont="1" applyBorder="1" applyAlignment="1" applyProtection="1">
      <alignment horizontal="center" vertical="center"/>
      <protection locked="0"/>
    </xf>
    <xf numFmtId="0" fontId="17" fillId="0" borderId="18" xfId="0" applyFont="1" applyBorder="1" applyAlignment="1">
      <alignment horizontal="center" vertical="center"/>
    </xf>
    <xf numFmtId="0" fontId="19" fillId="0" borderId="18" xfId="0" applyFont="1" applyBorder="1" applyAlignment="1" applyProtection="1">
      <alignment horizontal="center" vertical="center"/>
      <protection locked="0"/>
    </xf>
    <xf numFmtId="0" fontId="17" fillId="0" borderId="26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>
      <alignment horizontal="center" vertical="center"/>
    </xf>
    <xf numFmtId="49" fontId="17" fillId="0" borderId="19" xfId="0" applyNumberFormat="1" applyFont="1" applyBorder="1" applyAlignment="1" applyProtection="1">
      <alignment horizontal="center" vertical="center"/>
      <protection locked="0"/>
    </xf>
    <xf numFmtId="0" fontId="17" fillId="0" borderId="19" xfId="0" applyFont="1" applyBorder="1" applyAlignment="1">
      <alignment horizontal="center" vertical="center"/>
    </xf>
    <xf numFmtId="0" fontId="19" fillId="0" borderId="19" xfId="0" applyFont="1" applyBorder="1" applyAlignment="1" applyProtection="1">
      <alignment horizontal="center" vertical="center"/>
      <protection locked="0"/>
    </xf>
    <xf numFmtId="0" fontId="17" fillId="0" borderId="28" xfId="0" applyFont="1" applyBorder="1" applyAlignment="1" applyProtection="1">
      <alignment horizontal="center" vertical="center"/>
      <protection locked="0"/>
    </xf>
    <xf numFmtId="0" fontId="17" fillId="0" borderId="29" xfId="0" applyFont="1" applyBorder="1" applyAlignment="1">
      <alignment horizontal="center" vertical="center"/>
    </xf>
    <xf numFmtId="49" fontId="17" fillId="0" borderId="20" xfId="0" applyNumberFormat="1" applyFont="1" applyBorder="1" applyAlignment="1" applyProtection="1">
      <alignment horizontal="center" vertical="center"/>
      <protection locked="0"/>
    </xf>
    <xf numFmtId="0" fontId="17" fillId="0" borderId="20" xfId="0" applyFont="1" applyBorder="1" applyAlignment="1">
      <alignment horizontal="center" vertical="center"/>
    </xf>
    <xf numFmtId="0" fontId="19" fillId="0" borderId="20" xfId="0" applyFont="1" applyBorder="1" applyAlignment="1" applyProtection="1">
      <alignment horizontal="center" vertical="center"/>
      <protection locked="0"/>
    </xf>
    <xf numFmtId="0" fontId="17" fillId="0" borderId="30" xfId="0" applyFont="1" applyBorder="1" applyAlignment="1" applyProtection="1">
      <alignment horizontal="center" vertical="center"/>
      <protection locked="0"/>
    </xf>
    <xf numFmtId="0" fontId="17" fillId="0" borderId="35" xfId="0" applyFont="1" applyBorder="1" applyAlignment="1">
      <alignment horizontal="center" vertical="center"/>
    </xf>
    <xf numFmtId="49" fontId="17" fillId="0" borderId="36" xfId="0" applyNumberFormat="1" applyFont="1" applyBorder="1" applyAlignment="1" applyProtection="1">
      <alignment horizontal="center" vertical="center"/>
      <protection locked="0"/>
    </xf>
    <xf numFmtId="0" fontId="17" fillId="0" borderId="36" xfId="0" applyFont="1" applyBorder="1" applyAlignment="1">
      <alignment horizontal="center" vertical="center"/>
    </xf>
    <xf numFmtId="0" fontId="19" fillId="0" borderId="36" xfId="0" applyFont="1" applyBorder="1" applyAlignment="1" applyProtection="1">
      <alignment horizontal="center" vertical="center"/>
      <protection locked="0"/>
    </xf>
    <xf numFmtId="0" fontId="17" fillId="0" borderId="37" xfId="0" applyFont="1" applyBorder="1" applyAlignment="1" applyProtection="1">
      <alignment horizontal="center" vertical="center"/>
      <protection locked="0"/>
    </xf>
    <xf numFmtId="0" fontId="17" fillId="0" borderId="31" xfId="0" applyFont="1" applyBorder="1" applyAlignment="1">
      <alignment horizontal="center" vertical="center"/>
    </xf>
    <xf numFmtId="49" fontId="17" fillId="0" borderId="32" xfId="0" applyNumberFormat="1" applyFont="1" applyBorder="1" applyAlignment="1" applyProtection="1">
      <alignment horizontal="center" vertical="center"/>
      <protection locked="0"/>
    </xf>
    <xf numFmtId="0" fontId="17" fillId="0" borderId="32" xfId="0" applyFont="1" applyBorder="1" applyAlignment="1">
      <alignment horizontal="center" vertical="center"/>
    </xf>
    <xf numFmtId="0" fontId="19" fillId="0" borderId="32" xfId="0" applyFont="1" applyBorder="1" applyAlignment="1" applyProtection="1">
      <alignment horizontal="center" vertical="center"/>
      <protection locked="0"/>
    </xf>
    <xf numFmtId="0" fontId="17" fillId="0" borderId="33" xfId="0" applyFont="1" applyBorder="1" applyAlignment="1" applyProtection="1">
      <alignment horizontal="center" vertical="center"/>
      <protection locked="0"/>
    </xf>
    <xf numFmtId="20" fontId="17" fillId="0" borderId="20" xfId="0" applyNumberFormat="1" applyFont="1" applyBorder="1" applyAlignment="1">
      <alignment horizontal="center" vertical="center"/>
    </xf>
    <xf numFmtId="0" fontId="17" fillId="0" borderId="20" xfId="0" applyFont="1" applyBorder="1"/>
    <xf numFmtId="0" fontId="20" fillId="0" borderId="20" xfId="0" applyFont="1" applyBorder="1" applyAlignment="1" applyProtection="1">
      <alignment horizontal="center" vertical="center"/>
      <protection locked="0"/>
    </xf>
    <xf numFmtId="0" fontId="17" fillId="0" borderId="12" xfId="0" applyFont="1" applyBorder="1"/>
    <xf numFmtId="20" fontId="17" fillId="0" borderId="12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20" fontId="17" fillId="0" borderId="12" xfId="0" applyNumberFormat="1" applyFont="1" applyBorder="1"/>
    <xf numFmtId="0" fontId="21" fillId="0" borderId="12" xfId="0" applyFont="1" applyBorder="1"/>
    <xf numFmtId="0" fontId="20" fillId="0" borderId="12" xfId="0" applyFont="1" applyBorder="1" applyAlignment="1" applyProtection="1">
      <alignment horizontal="center" vertical="center"/>
      <protection locked="0"/>
    </xf>
    <xf numFmtId="0" fontId="20" fillId="0" borderId="12" xfId="0" applyFont="1" applyBorder="1" applyAlignment="1">
      <alignment horizontal="center" vertical="center"/>
    </xf>
    <xf numFmtId="0" fontId="19" fillId="0" borderId="12" xfId="0" applyFont="1" applyBorder="1"/>
    <xf numFmtId="0" fontId="17" fillId="0" borderId="12" xfId="0" applyFont="1" applyBorder="1" applyAlignment="1" applyProtection="1">
      <alignment horizontal="center" vertical="center" wrapText="1"/>
      <protection locked="0"/>
    </xf>
    <xf numFmtId="0" fontId="17" fillId="0" borderId="0" xfId="0" applyFont="1"/>
    <xf numFmtId="0" fontId="17" fillId="0" borderId="13" xfId="0" applyFont="1" applyBorder="1" applyAlignment="1" applyProtection="1">
      <alignment vertical="center" wrapText="1"/>
      <protection locked="0"/>
    </xf>
    <xf numFmtId="164" fontId="1" fillId="0" borderId="43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>
      <alignment horizontal="left" vertical="center"/>
    </xf>
    <xf numFmtId="0" fontId="1" fillId="0" borderId="20" xfId="0" applyFont="1" applyBorder="1" applyAlignment="1" applyProtection="1">
      <alignment horizontal="center" vertical="center"/>
      <protection locked="0"/>
    </xf>
  </cellXfs>
  <cellStyles count="2">
    <cellStyle name="Standard_RANK-CEV" xfId="1" xr:uid="{00000000-0005-0000-0000-000001000000}"/>
    <cellStyle name="Κανονικό" xfId="0" builtinId="0"/>
  </cellStyles>
  <dxfs count="2"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14</xdr:row>
      <xdr:rowOff>47625</xdr:rowOff>
    </xdr:from>
    <xdr:to>
      <xdr:col>4</xdr:col>
      <xdr:colOff>476250</xdr:colOff>
      <xdr:row>17</xdr:row>
      <xdr:rowOff>19050</xdr:rowOff>
    </xdr:to>
    <xdr:sp macro="" textlink="">
      <xdr:nvSpPr>
        <xdr:cNvPr id="1879" name="Line 1">
          <a:extLst>
            <a:ext uri="{FF2B5EF4-FFF2-40B4-BE49-F238E27FC236}">
              <a16:creationId xmlns:a16="http://schemas.microsoft.com/office/drawing/2014/main" id="{00000000-0008-0000-0200-000057070000}"/>
            </a:ext>
          </a:extLst>
        </xdr:cNvPr>
        <xdr:cNvSpPr>
          <a:spLocks noChangeShapeType="1"/>
        </xdr:cNvSpPr>
      </xdr:nvSpPr>
      <xdr:spPr bwMode="auto">
        <a:xfrm>
          <a:off x="5772150" y="1647825"/>
          <a:ext cx="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476250</xdr:colOff>
      <xdr:row>27</xdr:row>
      <xdr:rowOff>66675</xdr:rowOff>
    </xdr:from>
    <xdr:to>
      <xdr:col>4</xdr:col>
      <xdr:colOff>476250</xdr:colOff>
      <xdr:row>29</xdr:row>
      <xdr:rowOff>38100</xdr:rowOff>
    </xdr:to>
    <xdr:sp macro="" textlink="">
      <xdr:nvSpPr>
        <xdr:cNvPr id="1880" name="Line 2">
          <a:extLst>
            <a:ext uri="{FF2B5EF4-FFF2-40B4-BE49-F238E27FC236}">
              <a16:creationId xmlns:a16="http://schemas.microsoft.com/office/drawing/2014/main" id="{00000000-0008-0000-0200-000058070000}"/>
            </a:ext>
          </a:extLst>
        </xdr:cNvPr>
        <xdr:cNvSpPr>
          <a:spLocks noChangeShapeType="1"/>
        </xdr:cNvSpPr>
      </xdr:nvSpPr>
      <xdr:spPr bwMode="auto">
        <a:xfrm flipH="1" flipV="1">
          <a:off x="5772150" y="315277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"/>
  <sheetViews>
    <sheetView tabSelected="1" view="pageBreakPreview" zoomScaleNormal="100" zoomScaleSheetLayoutView="100" workbookViewId="0">
      <selection activeCell="B2" sqref="B2"/>
    </sheetView>
  </sheetViews>
  <sheetFormatPr defaultColWidth="5.5703125" defaultRowHeight="15" x14ac:dyDescent="0.2"/>
  <cols>
    <col min="1" max="1" width="4.7109375" style="62" customWidth="1"/>
    <col min="2" max="2" width="34.7109375" style="62" customWidth="1"/>
    <col min="3" max="3" width="6.7109375" style="62" bestFit="1" customWidth="1"/>
    <col min="4" max="5" width="5.5703125" style="62"/>
    <col min="6" max="6" width="4.7109375" style="62" customWidth="1"/>
    <col min="7" max="7" width="34.7109375" style="62" customWidth="1"/>
    <col min="8" max="8" width="6.7109375" style="62" customWidth="1"/>
    <col min="9" max="16384" width="5.5703125" style="62"/>
  </cols>
  <sheetData>
    <row r="1" spans="1:8" ht="80.099999999999994" customHeight="1" thickBot="1" x14ac:dyDescent="0.25">
      <c r="A1" s="59" t="s">
        <v>29</v>
      </c>
      <c r="B1" s="60"/>
      <c r="C1" s="61"/>
    </row>
    <row r="2" spans="1:8" ht="39.75" customHeight="1" x14ac:dyDescent="0.2">
      <c r="A2" s="63" t="s">
        <v>6</v>
      </c>
      <c r="B2" s="64" t="s">
        <v>3</v>
      </c>
      <c r="C2" s="65" t="s">
        <v>16</v>
      </c>
      <c r="F2" s="63" t="s">
        <v>6</v>
      </c>
      <c r="G2" s="66" t="s">
        <v>3</v>
      </c>
      <c r="H2" s="65" t="s">
        <v>16</v>
      </c>
    </row>
    <row r="3" spans="1:8" ht="19.5" customHeight="1" x14ac:dyDescent="0.2">
      <c r="A3" s="65">
        <v>1</v>
      </c>
      <c r="B3" s="67"/>
      <c r="C3" s="68"/>
      <c r="F3" s="65">
        <v>1</v>
      </c>
      <c r="G3" s="67"/>
      <c r="H3" s="68"/>
    </row>
    <row r="4" spans="1:8" ht="19.5" customHeight="1" x14ac:dyDescent="0.2">
      <c r="A4" s="65">
        <v>2</v>
      </c>
      <c r="B4" s="67"/>
      <c r="C4" s="69"/>
      <c r="F4" s="65">
        <v>2</v>
      </c>
      <c r="G4" s="67"/>
      <c r="H4" s="69"/>
    </row>
    <row r="5" spans="1:8" ht="19.5" customHeight="1" x14ac:dyDescent="0.2">
      <c r="A5" s="65">
        <v>3</v>
      </c>
      <c r="B5" s="67"/>
      <c r="C5" s="69"/>
      <c r="F5" s="65">
        <v>3</v>
      </c>
      <c r="G5" s="67"/>
      <c r="H5" s="69"/>
    </row>
    <row r="6" spans="1:8" ht="19.5" customHeight="1" x14ac:dyDescent="0.2">
      <c r="A6" s="65">
        <v>4</v>
      </c>
      <c r="B6" s="67"/>
      <c r="C6" s="69"/>
      <c r="F6" s="65">
        <v>4</v>
      </c>
      <c r="G6" s="67"/>
      <c r="H6" s="69"/>
    </row>
    <row r="7" spans="1:8" ht="19.5" customHeight="1" x14ac:dyDescent="0.2">
      <c r="A7" s="65">
        <v>5</v>
      </c>
      <c r="B7" s="67"/>
      <c r="C7" s="69"/>
      <c r="F7" s="65">
        <v>5</v>
      </c>
      <c r="G7" s="67"/>
      <c r="H7" s="69"/>
    </row>
    <row r="8" spans="1:8" ht="19.5" customHeight="1" x14ac:dyDescent="0.2">
      <c r="A8" s="65">
        <v>6</v>
      </c>
      <c r="B8" s="70"/>
      <c r="C8" s="69"/>
      <c r="D8" s="65"/>
      <c r="F8" s="65">
        <v>6</v>
      </c>
      <c r="G8" s="70"/>
      <c r="H8" s="69"/>
    </row>
    <row r="9" spans="1:8" ht="19.5" customHeight="1" x14ac:dyDescent="0.2">
      <c r="A9" s="65">
        <v>7</v>
      </c>
      <c r="B9" s="67"/>
      <c r="C9" s="69"/>
      <c r="D9" s="65"/>
      <c r="F9" s="65">
        <v>7</v>
      </c>
      <c r="G9" s="67"/>
      <c r="H9" s="69"/>
    </row>
    <row r="10" spans="1:8" ht="19.5" customHeight="1" x14ac:dyDescent="0.2">
      <c r="A10" s="65">
        <v>8</v>
      </c>
      <c r="B10" s="67"/>
      <c r="C10" s="69"/>
      <c r="D10" s="65"/>
      <c r="F10" s="65">
        <v>8</v>
      </c>
      <c r="G10" s="67"/>
      <c r="H10" s="69"/>
    </row>
    <row r="11" spans="1:8" ht="19.5" customHeight="1" x14ac:dyDescent="0.2">
      <c r="A11" s="65">
        <v>9</v>
      </c>
      <c r="B11" s="67"/>
      <c r="C11" s="69"/>
      <c r="F11" s="65">
        <v>9</v>
      </c>
      <c r="G11" s="67"/>
      <c r="H11" s="69"/>
    </row>
    <row r="12" spans="1:8" ht="19.5" customHeight="1" x14ac:dyDescent="0.2">
      <c r="A12" s="65">
        <v>10</v>
      </c>
      <c r="B12" s="67"/>
      <c r="C12" s="69"/>
      <c r="F12" s="65">
        <v>10</v>
      </c>
      <c r="G12" s="67"/>
      <c r="H12" s="69"/>
    </row>
    <row r="13" spans="1:8" ht="19.5" customHeight="1" x14ac:dyDescent="0.2">
      <c r="A13" s="65">
        <v>11</v>
      </c>
      <c r="B13" s="67"/>
      <c r="C13" s="69"/>
      <c r="F13" s="65">
        <v>11</v>
      </c>
      <c r="G13" s="67"/>
      <c r="H13" s="69"/>
    </row>
    <row r="14" spans="1:8" ht="19.5" customHeight="1" x14ac:dyDescent="0.2">
      <c r="A14" s="65">
        <v>12</v>
      </c>
      <c r="B14" s="71"/>
      <c r="C14" s="69"/>
      <c r="F14" s="65">
        <v>12</v>
      </c>
      <c r="G14" s="72"/>
      <c r="H14" s="69"/>
    </row>
  </sheetData>
  <mergeCells count="1">
    <mergeCell ref="A1:C1"/>
  </mergeCells>
  <phoneticPr fontId="0" type="noConversion"/>
  <printOptions horizontalCentered="1"/>
  <pageMargins left="0.74803149606299213" right="0.74803149606299213" top="0.98425196850393704" bottom="0.39370078740157483" header="0.74803149606299213" footer="0.39370078740157483"/>
  <pageSetup paperSize="9" orientation="portrait" horizontalDpi="4294967294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96"/>
  <sheetViews>
    <sheetView view="pageBreakPreview" zoomScaleNormal="90" zoomScaleSheetLayoutView="100" zoomScalePageLayoutView="75" workbookViewId="0">
      <selection activeCell="F2" sqref="F2"/>
    </sheetView>
  </sheetViews>
  <sheetFormatPr defaultColWidth="5.7109375" defaultRowHeight="15" x14ac:dyDescent="0.25"/>
  <cols>
    <col min="1" max="1" width="7.7109375" style="65" customWidth="1"/>
    <col min="2" max="2" width="4.28515625" style="65" bestFit="1" customWidth="1"/>
    <col min="3" max="3" width="13" style="125" bestFit="1" customWidth="1"/>
    <col min="4" max="4" width="6.7109375" style="125" customWidth="1"/>
    <col min="5" max="5" width="4.85546875" style="124" customWidth="1"/>
    <col min="6" max="6" width="40.7109375" style="65" customWidth="1"/>
    <col min="7" max="7" width="3.5703125" style="65" bestFit="1" customWidth="1"/>
    <col min="8" max="8" width="40.7109375" style="65" customWidth="1"/>
    <col min="9" max="9" width="4.85546875" style="126" customWidth="1"/>
    <col min="10" max="10" width="3.28515625" style="126" customWidth="1"/>
    <col min="11" max="11" width="4.7109375" style="126" customWidth="1"/>
    <col min="12" max="12" width="20.7109375" style="126" customWidth="1"/>
    <col min="13" max="13" width="5.85546875" style="65" customWidth="1"/>
    <col min="14" max="14" width="9.140625" style="124" customWidth="1"/>
    <col min="15" max="15" width="3.7109375" style="65" customWidth="1"/>
    <col min="16" max="16384" width="5.7109375" style="65"/>
  </cols>
  <sheetData>
    <row r="1" spans="1:17" ht="80.099999999999994" customHeight="1" thickBot="1" x14ac:dyDescent="0.3">
      <c r="A1" s="73" t="s">
        <v>30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17" ht="55.5" customHeight="1" x14ac:dyDescent="0.2">
      <c r="A2" s="76" t="s">
        <v>17</v>
      </c>
      <c r="B2" s="77" t="s">
        <v>18</v>
      </c>
      <c r="C2" s="78" t="s">
        <v>19</v>
      </c>
      <c r="D2" s="79" t="s">
        <v>20</v>
      </c>
      <c r="E2" s="79" t="s">
        <v>21</v>
      </c>
      <c r="F2" s="80" t="s">
        <v>22</v>
      </c>
      <c r="G2" s="81" t="s">
        <v>0</v>
      </c>
      <c r="H2" s="80" t="s">
        <v>23</v>
      </c>
      <c r="I2" s="82" t="s">
        <v>24</v>
      </c>
      <c r="J2" s="82"/>
      <c r="K2" s="82"/>
      <c r="L2" s="83" t="s">
        <v>25</v>
      </c>
      <c r="M2" s="84" t="s">
        <v>26</v>
      </c>
      <c r="N2" s="85"/>
    </row>
    <row r="3" spans="1:17" ht="18.95" customHeight="1" x14ac:dyDescent="0.25">
      <c r="A3" s="86">
        <v>1</v>
      </c>
      <c r="B3" s="87" t="s">
        <v>10</v>
      </c>
      <c r="C3" s="87"/>
      <c r="D3" s="87"/>
      <c r="E3" s="87"/>
      <c r="F3" s="88" t="str">
        <f>IF('Αρχική Λίστα'!$B$10="",CONCATENATE("Ομάδα Νο",'Αρχική Λίστα'!$A$10),'Αρχική Λίστα'!$B$10)</f>
        <v>Ομάδα Νο8</v>
      </c>
      <c r="G3" s="88" t="s">
        <v>0</v>
      </c>
      <c r="H3" s="88" t="str">
        <f>IF('Αρχική Λίστα'!$B$11="",CONCATENATE("Ομάδα Νο",'Αρχική Λίστα'!$A$11),'Αρχική Λίστα'!$B$11)</f>
        <v>Ομάδα Νο9</v>
      </c>
      <c r="I3" s="89"/>
      <c r="J3" s="88" t="s">
        <v>9</v>
      </c>
      <c r="K3" s="89"/>
      <c r="L3" s="89"/>
      <c r="M3" s="90"/>
      <c r="N3" s="75"/>
    </row>
    <row r="4" spans="1:17" ht="18.95" customHeight="1" x14ac:dyDescent="0.25">
      <c r="A4" s="91">
        <v>2</v>
      </c>
      <c r="B4" s="92" t="s">
        <v>10</v>
      </c>
      <c r="C4" s="92"/>
      <c r="D4" s="92"/>
      <c r="E4" s="92"/>
      <c r="F4" s="65" t="str">
        <f>IF('Αρχική Λίστα'!$B$7="",CONCATENATE("Ομάδα Νο",'Αρχική Λίστα'!$A$7),'Αρχική Λίστα'!$B$7)</f>
        <v>Ομάδα Νο5</v>
      </c>
      <c r="G4" s="65" t="s">
        <v>0</v>
      </c>
      <c r="H4" s="65" t="str">
        <f>IF('Αρχική Λίστα'!$B$14="",CONCATENATE("Ομάδα Νο",'Αρχική Λίστα'!$A$14),'Αρχική Λίστα'!$B$14)</f>
        <v>Ομάδα Νο12</v>
      </c>
      <c r="I4" s="93"/>
      <c r="J4" s="65" t="s">
        <v>9</v>
      </c>
      <c r="K4" s="93"/>
      <c r="L4" s="94"/>
      <c r="M4" s="95"/>
      <c r="N4" s="75"/>
    </row>
    <row r="5" spans="1:17" ht="18.95" customHeight="1" x14ac:dyDescent="0.25">
      <c r="A5" s="91">
        <v>3</v>
      </c>
      <c r="B5" s="92" t="s">
        <v>10</v>
      </c>
      <c r="C5" s="92"/>
      <c r="D5" s="92"/>
      <c r="E5" s="92"/>
      <c r="F5" s="65" t="str">
        <f>IF('Αρχική Λίστα'!$B$8="",CONCATENATE("Ομάδα Νο",'Αρχική Λίστα'!$A$8),'Αρχική Λίστα'!$B$8)</f>
        <v>Ομάδα Νο6</v>
      </c>
      <c r="G5" s="65" t="s">
        <v>0</v>
      </c>
      <c r="H5" s="65" t="str">
        <f>IF('Αρχική Λίστα'!$B$13="",CONCATENATE("Ομάδα Νο",'Αρχική Λίστα'!$A$13),'Αρχική Λίστα'!$B$13)</f>
        <v>Ομάδα Νο11</v>
      </c>
      <c r="I5" s="93"/>
      <c r="J5" s="65" t="s">
        <v>9</v>
      </c>
      <c r="K5" s="93"/>
      <c r="L5" s="94"/>
      <c r="M5" s="95"/>
      <c r="N5" s="75"/>
    </row>
    <row r="6" spans="1:17" ht="18.95" customHeight="1" x14ac:dyDescent="0.25">
      <c r="A6" s="96">
        <v>4</v>
      </c>
      <c r="B6" s="97" t="s">
        <v>10</v>
      </c>
      <c r="C6" s="97"/>
      <c r="D6" s="97"/>
      <c r="E6" s="97"/>
      <c r="F6" s="98" t="str">
        <f>IF('Αρχική Λίστα'!$B$9="",CONCATENATE("Ομάδα Νο",'Αρχική Λίστα'!$A$9),'Αρχική Λίστα'!$B$9)</f>
        <v>Ομάδα Νο7</v>
      </c>
      <c r="G6" s="98" t="s">
        <v>0</v>
      </c>
      <c r="H6" s="98" t="str">
        <f>IF('Αρχική Λίστα'!$B$12="",CONCATENATE("Ομάδα Νο",'Αρχική Λίστα'!$A$12),'Αρχική Λίστα'!$B$12)</f>
        <v>Ομάδα Νο10</v>
      </c>
      <c r="I6" s="99"/>
      <c r="J6" s="98" t="s">
        <v>9</v>
      </c>
      <c r="K6" s="99"/>
      <c r="L6" s="99"/>
      <c r="M6" s="100"/>
      <c r="N6" s="75"/>
    </row>
    <row r="7" spans="1:17" ht="18.95" customHeight="1" x14ac:dyDescent="0.25">
      <c r="A7" s="86">
        <v>5</v>
      </c>
      <c r="B7" s="87" t="s">
        <v>11</v>
      </c>
      <c r="C7" s="87"/>
      <c r="D7" s="87"/>
      <c r="E7" s="87"/>
      <c r="F7" s="88" t="str">
        <f>IF('Αρχική Λίστα'!$B$3="",CONCATENATE("Ομάδα Νο",'Αρχική Λίστα'!$A$3),'Αρχική Λίστα'!$B$3)</f>
        <v>Ομάδα Νο1</v>
      </c>
      <c r="G7" s="88" t="s">
        <v>0</v>
      </c>
      <c r="H7" s="88" t="str">
        <f>IF($I$3=$K$3,CONCATENATE("Νικητής Αγώνα Νο",$A$3),IF($I$3&gt;$K$3,$F$3,$H$3))</f>
        <v>Νικητής Αγώνα Νο1</v>
      </c>
      <c r="I7" s="89"/>
      <c r="J7" s="88" t="s">
        <v>9</v>
      </c>
      <c r="K7" s="89"/>
      <c r="L7" s="89"/>
      <c r="M7" s="90"/>
      <c r="N7" s="75"/>
    </row>
    <row r="8" spans="1:17" ht="18.95" customHeight="1" x14ac:dyDescent="0.25">
      <c r="A8" s="91">
        <v>6</v>
      </c>
      <c r="B8" s="92" t="s">
        <v>11</v>
      </c>
      <c r="C8" s="92"/>
      <c r="D8" s="92"/>
      <c r="E8" s="92"/>
      <c r="F8" s="65" t="str">
        <f>IF('Αρχική Λίστα'!$B$6="",CONCATENATE("Ομάδα Νο",'Αρχική Λίστα'!$A$6),'Αρχική Λίστα'!$B$6)</f>
        <v>Ομάδα Νο4</v>
      </c>
      <c r="G8" s="65" t="s">
        <v>0</v>
      </c>
      <c r="H8" s="65" t="str">
        <f>IF($I$4=$K$4,CONCATENATE("Νικητής Αγώνα Νο",$A$4),IF($I$4&gt;$K$4,$F$4,$H$4))</f>
        <v>Νικητής Αγώνα Νο2</v>
      </c>
      <c r="I8" s="94"/>
      <c r="J8" s="65" t="s">
        <v>9</v>
      </c>
      <c r="K8" s="94"/>
      <c r="L8" s="94"/>
      <c r="M8" s="95"/>
      <c r="N8" s="75"/>
    </row>
    <row r="9" spans="1:17" ht="18.95" customHeight="1" x14ac:dyDescent="0.25">
      <c r="A9" s="91">
        <v>7</v>
      </c>
      <c r="B9" s="92" t="s">
        <v>11</v>
      </c>
      <c r="C9" s="92"/>
      <c r="D9" s="92"/>
      <c r="E9" s="92"/>
      <c r="F9" s="65" t="str">
        <f>IF('Αρχική Λίστα'!$B$5="",CONCATENATE("Ομάδα Νο",'Αρχική Λίστα'!$A$5),'Αρχική Λίστα'!$B$5)</f>
        <v>Ομάδα Νο3</v>
      </c>
      <c r="G9" s="65" t="s">
        <v>0</v>
      </c>
      <c r="H9" s="65" t="str">
        <f>IF($I$5=$K$5,CONCATENATE("Νικητής Αγώνα Νο",$A$5),IF($I$5&gt;$K$5,$F$5,$H$5))</f>
        <v>Νικητής Αγώνα Νο3</v>
      </c>
      <c r="I9" s="94"/>
      <c r="J9" s="65" t="s">
        <v>9</v>
      </c>
      <c r="K9" s="94"/>
      <c r="L9" s="94"/>
      <c r="M9" s="95"/>
      <c r="N9" s="75"/>
    </row>
    <row r="10" spans="1:17" ht="18.95" customHeight="1" x14ac:dyDescent="0.25">
      <c r="A10" s="96">
        <v>8</v>
      </c>
      <c r="B10" s="97" t="s">
        <v>11</v>
      </c>
      <c r="C10" s="97"/>
      <c r="D10" s="97"/>
      <c r="E10" s="97"/>
      <c r="F10" s="98" t="str">
        <f>IF('Αρχική Λίστα'!$B$4="",CONCATENATE("Ομάδα Νο",'Αρχική Λίστα'!$A$4),'Αρχική Λίστα'!$B$4)</f>
        <v>Ομάδα Νο2</v>
      </c>
      <c r="G10" s="98" t="s">
        <v>0</v>
      </c>
      <c r="H10" s="98" t="str">
        <f>IF($I$6=$K$6,CONCATENATE("Νικητής Αγώνα Νο",$A$6),IF($I$6&gt;$K$6,$F$6,$H$6))</f>
        <v>Νικητής Αγώνα Νο4</v>
      </c>
      <c r="I10" s="99"/>
      <c r="J10" s="98" t="s">
        <v>9</v>
      </c>
      <c r="K10" s="99"/>
      <c r="L10" s="99"/>
      <c r="M10" s="100"/>
      <c r="N10" s="75" t="s">
        <v>27</v>
      </c>
    </row>
    <row r="11" spans="1:17" ht="18.95" customHeight="1" x14ac:dyDescent="0.25">
      <c r="A11" s="86">
        <v>9</v>
      </c>
      <c r="B11" s="87">
        <v>9</v>
      </c>
      <c r="C11" s="87"/>
      <c r="D11" s="87"/>
      <c r="E11" s="87"/>
      <c r="F11" s="88" t="str">
        <f>IF($I$6=$K$6,CONCATENATE("Ηττημένος Αγώνα Νο",$A$6),IF($I$6&lt;$K$6,$F$6,$H$6))</f>
        <v>Ηττημένος Αγώνα Νο4</v>
      </c>
      <c r="G11" s="88" t="s">
        <v>0</v>
      </c>
      <c r="H11" s="88" t="str">
        <f>IF($I$7=$K$7,CONCATENATE("Ηττημένος Αγώνα Νο",$A$7),IF($I$7&lt;$K$7,$F$7,$H$7))</f>
        <v>Ηττημένος Αγώνα Νο5</v>
      </c>
      <c r="I11" s="89"/>
      <c r="J11" s="88" t="s">
        <v>9</v>
      </c>
      <c r="K11" s="89"/>
      <c r="L11" s="89"/>
      <c r="M11" s="90"/>
      <c r="N11" s="75"/>
    </row>
    <row r="12" spans="1:17" ht="18.95" customHeight="1" x14ac:dyDescent="0.25">
      <c r="A12" s="91">
        <v>10</v>
      </c>
      <c r="B12" s="92">
        <v>9</v>
      </c>
      <c r="C12" s="92"/>
      <c r="D12" s="92"/>
      <c r="E12" s="92"/>
      <c r="F12" s="65" t="str">
        <f>IF($I$5=$K$5,CONCATENATE("Ηττημένος Αγώνα Νο",$A$5),IF($I$5&lt;$K$5,$F$5,$H$5))</f>
        <v>Ηττημένος Αγώνα Νο3</v>
      </c>
      <c r="G12" s="65" t="s">
        <v>0</v>
      </c>
      <c r="H12" s="65" t="str">
        <f>IF($I$8=$K$8,CONCATENATE("Ηττημένος Αγώνα Νο",$A$8),IF($I$8&lt;$K$8,$F$8,$H$8))</f>
        <v>Ηττημένος Αγώνα Νο6</v>
      </c>
      <c r="I12" s="93"/>
      <c r="J12" s="65" t="s">
        <v>9</v>
      </c>
      <c r="K12" s="93"/>
      <c r="L12" s="94"/>
      <c r="M12" s="95"/>
      <c r="N12" s="75"/>
    </row>
    <row r="13" spans="1:17" ht="18.95" customHeight="1" x14ac:dyDescent="0.25">
      <c r="A13" s="91">
        <v>11</v>
      </c>
      <c r="B13" s="92">
        <v>9</v>
      </c>
      <c r="C13" s="92"/>
      <c r="D13" s="92"/>
      <c r="E13" s="92"/>
      <c r="F13" s="65" t="str">
        <f>IF($I$4=$K$4,CONCATENATE("Ηττημένος Αγώνα Νο",$A$4),IF($I$4&lt;$K$4,$F$4,$H$4))</f>
        <v>Ηττημένος Αγώνα Νο2</v>
      </c>
      <c r="G13" s="65" t="s">
        <v>0</v>
      </c>
      <c r="H13" s="65" t="str">
        <f>IF($I$9=$K$9,CONCATENATE("Ηττημένος Αγώνα Νο",$A$9),IF($I$9&lt;$K$9,$F$9,$H$9))</f>
        <v>Ηττημένος Αγώνα Νο7</v>
      </c>
      <c r="I13" s="93"/>
      <c r="J13" s="65" t="s">
        <v>9</v>
      </c>
      <c r="K13" s="93"/>
      <c r="L13" s="94"/>
      <c r="M13" s="95"/>
      <c r="N13" s="75"/>
      <c r="Q13" s="65" t="s">
        <v>27</v>
      </c>
    </row>
    <row r="14" spans="1:17" ht="18.95" customHeight="1" x14ac:dyDescent="0.25">
      <c r="A14" s="96">
        <v>12</v>
      </c>
      <c r="B14" s="97">
        <v>9</v>
      </c>
      <c r="C14" s="97"/>
      <c r="D14" s="97"/>
      <c r="E14" s="97"/>
      <c r="F14" s="98" t="str">
        <f>IF($I$3=$K$3,CONCATENATE("Ηττημένος Αγώνα Νο",$A$3),IF($I$3&lt;$K$3,$F$3,$H$3))</f>
        <v>Ηττημένος Αγώνα Νο1</v>
      </c>
      <c r="G14" s="98" t="s">
        <v>0</v>
      </c>
      <c r="H14" s="98" t="str">
        <f>IF($I$10=$K$10,CONCATENATE("Ηττημένος Αγώνα Νο",$A$10),IF($I$10&lt;$K$10,$F$10,$H$10))</f>
        <v>Ηττημένος Αγώνα Νο8</v>
      </c>
      <c r="I14" s="99"/>
      <c r="J14" s="98" t="s">
        <v>9</v>
      </c>
      <c r="K14" s="99"/>
      <c r="L14" s="99"/>
      <c r="M14" s="100"/>
      <c r="N14" s="75"/>
    </row>
    <row r="15" spans="1:17" ht="18.95" customHeight="1" x14ac:dyDescent="0.25">
      <c r="A15" s="86">
        <v>13</v>
      </c>
      <c r="B15" s="87" t="s">
        <v>12</v>
      </c>
      <c r="C15" s="87"/>
      <c r="D15" s="87"/>
      <c r="E15" s="87"/>
      <c r="F15" s="88" t="str">
        <f>IF($I$7=$K$7,CONCATENATE("Νικητής Αγώνα Νο",$A$7),IF($I$7&gt;$K$7,$F$7,$H$7))</f>
        <v>Νικητής Αγώνα Νο5</v>
      </c>
      <c r="G15" s="88" t="s">
        <v>0</v>
      </c>
      <c r="H15" s="88" t="str">
        <f>IF($I$8=$K$8,CONCATENATE("Νικητής Αγώνα Νο",$A$8),IF($I$8&gt;$K$8,$F$8,$H$8))</f>
        <v>Νικητής Αγώνα Νο6</v>
      </c>
      <c r="I15" s="89"/>
      <c r="J15" s="88" t="s">
        <v>9</v>
      </c>
      <c r="K15" s="89"/>
      <c r="L15" s="89"/>
      <c r="M15" s="90"/>
      <c r="N15" s="75"/>
    </row>
    <row r="16" spans="1:17" ht="18.95" customHeight="1" x14ac:dyDescent="0.25">
      <c r="A16" s="96">
        <v>14</v>
      </c>
      <c r="B16" s="97" t="s">
        <v>12</v>
      </c>
      <c r="C16" s="97"/>
      <c r="D16" s="97"/>
      <c r="E16" s="97"/>
      <c r="F16" s="98" t="str">
        <f>IF($I$9=$K$9,CONCATENATE("Νικητής Αγώνα Νο",$A$9),IF($I$9&gt;$K$9,$F$9,$H$9))</f>
        <v>Νικητής Αγώνα Νο7</v>
      </c>
      <c r="G16" s="98" t="s">
        <v>0</v>
      </c>
      <c r="H16" s="98" t="str">
        <f>IF($I$10=$K$10,CONCATENATE("Νικητής Αγώνα Νο",$A$10),IF($I$10&gt;$K$10,$F$10,$H$10))</f>
        <v>Νικητής Αγώνα Νο8</v>
      </c>
      <c r="I16" s="99"/>
      <c r="J16" s="98" t="s">
        <v>9</v>
      </c>
      <c r="K16" s="99"/>
      <c r="L16" s="99"/>
      <c r="M16" s="100"/>
      <c r="N16" s="75"/>
    </row>
    <row r="17" spans="1:17" ht="18.95" customHeight="1" x14ac:dyDescent="0.25">
      <c r="A17" s="86">
        <v>15</v>
      </c>
      <c r="B17" s="87">
        <v>7</v>
      </c>
      <c r="C17" s="87"/>
      <c r="D17" s="87"/>
      <c r="E17" s="87"/>
      <c r="F17" s="88" t="str">
        <f>IF($I$11=$K$11,CONCATENATE("Νικητής Αγώνα Νο",$A$11),IF($I$11&gt;$K$11,$F$11,$H$11))</f>
        <v>Νικητής Αγώνα Νο9</v>
      </c>
      <c r="G17" s="88" t="s">
        <v>0</v>
      </c>
      <c r="H17" s="88" t="str">
        <f>IF($I$12=$K$12,CONCATENATE("Νικητής Αγώνα Νο",$A$12),IF($I$12&gt;$K$12,$F$12,$H$12))</f>
        <v>Νικητής Αγώνα Νο10</v>
      </c>
      <c r="I17" s="89"/>
      <c r="J17" s="88" t="s">
        <v>9</v>
      </c>
      <c r="K17" s="89"/>
      <c r="L17" s="89"/>
      <c r="M17" s="90"/>
      <c r="N17" s="75"/>
      <c r="P17" s="65" t="s">
        <v>27</v>
      </c>
    </row>
    <row r="18" spans="1:17" ht="18.95" customHeight="1" x14ac:dyDescent="0.25">
      <c r="A18" s="101">
        <v>16</v>
      </c>
      <c r="B18" s="102">
        <v>7</v>
      </c>
      <c r="C18" s="97"/>
      <c r="D18" s="102"/>
      <c r="E18" s="102"/>
      <c r="F18" s="103" t="str">
        <f>IF($I$13=$K$13,CONCATENATE("Νικητής Αγώνα Νο",$A$13),IF($I$13&gt;$K$13,$F$13,$H$13))</f>
        <v>Νικητής Αγώνα Νο11</v>
      </c>
      <c r="G18" s="103" t="s">
        <v>0</v>
      </c>
      <c r="H18" s="103" t="str">
        <f>IF($I$14=$K$14,CONCATENATE("Νικητής Αγώνα Νο",$A$14),IF($I$14&gt;$K$14,$F$14,$H$14))</f>
        <v>Νικητής Αγώνα Νο12</v>
      </c>
      <c r="I18" s="104"/>
      <c r="J18" s="103" t="s">
        <v>9</v>
      </c>
      <c r="K18" s="104"/>
      <c r="L18" s="104"/>
      <c r="M18" s="105"/>
      <c r="N18" s="75"/>
    </row>
    <row r="19" spans="1:17" ht="18.95" customHeight="1" x14ac:dyDescent="0.25">
      <c r="A19" s="86">
        <v>17</v>
      </c>
      <c r="B19" s="87">
        <v>5</v>
      </c>
      <c r="C19" s="87"/>
      <c r="D19" s="87"/>
      <c r="E19" s="87"/>
      <c r="F19" s="88" t="str">
        <f>IF($I$17=$K$17,CONCATENATE("Νικητής Αγώνα Νο",$A$17),IF($I$17&gt;$K$17,$F$17,$H$17))</f>
        <v>Νικητής Αγώνα Νο15</v>
      </c>
      <c r="G19" s="88" t="s">
        <v>0</v>
      </c>
      <c r="H19" s="88" t="str">
        <f>IF($I$16=$K$16,CONCATENATE("Ηττημένος Αγώνα Νο",$A$16),IF($I$16&lt;$K$16,$F$16,$H$16))</f>
        <v>Ηττημένος Αγώνα Νο14</v>
      </c>
      <c r="I19" s="89"/>
      <c r="J19" s="88" t="s">
        <v>9</v>
      </c>
      <c r="K19" s="89"/>
      <c r="L19" s="89"/>
      <c r="M19" s="90"/>
      <c r="N19" s="75"/>
      <c r="Q19" s="65" t="s">
        <v>27</v>
      </c>
    </row>
    <row r="20" spans="1:17" ht="18.95" customHeight="1" x14ac:dyDescent="0.25">
      <c r="A20" s="96">
        <v>18</v>
      </c>
      <c r="B20" s="97">
        <v>5</v>
      </c>
      <c r="C20" s="97"/>
      <c r="D20" s="97"/>
      <c r="E20" s="97"/>
      <c r="F20" s="98" t="str">
        <f>IF($I$18=$K$18,CONCATENATE("Νικητής Αγώνα Νο",$A$18),IF($I$18&gt;$K$18,$F$18,$H$18))</f>
        <v>Νικητής Αγώνα Νο16</v>
      </c>
      <c r="G20" s="98" t="s">
        <v>0</v>
      </c>
      <c r="H20" s="98" t="str">
        <f>IF($I$15=$K$15,CONCATENATE("Ηττημένος Αγώνα Νο",$A$15),IF($I$15&lt;$K$15,$F$15,$H$15))</f>
        <v>Ηττημένος Αγώνα Νο13</v>
      </c>
      <c r="I20" s="99"/>
      <c r="J20" s="98" t="s">
        <v>9</v>
      </c>
      <c r="K20" s="99"/>
      <c r="L20" s="99"/>
      <c r="M20" s="100"/>
      <c r="N20" s="75"/>
      <c r="P20" s="65">
        <v>1</v>
      </c>
    </row>
    <row r="21" spans="1:17" ht="18.95" customHeight="1" x14ac:dyDescent="0.25">
      <c r="A21" s="106">
        <v>19</v>
      </c>
      <c r="B21" s="107" t="s">
        <v>13</v>
      </c>
      <c r="C21" s="87"/>
      <c r="D21" s="107"/>
      <c r="E21" s="107"/>
      <c r="F21" s="108" t="str">
        <f>IF($I$15=$K$15,CONCATENATE("Νικητής Αγώνα Νο",$A$15),IF($I$15&gt;$K$15,$F$15,$H$15))</f>
        <v>Νικητής Αγώνα Νο13</v>
      </c>
      <c r="G21" s="108" t="s">
        <v>0</v>
      </c>
      <c r="H21" s="108" t="str">
        <f>IF($I$19=$K$19,CONCATENATE("Νικητής Αγώνα Νο",$A$19),IF($I$19&gt;$K$19,$F$19,$H$19))</f>
        <v>Νικητής Αγώνα Νο17</v>
      </c>
      <c r="I21" s="109"/>
      <c r="J21" s="108" t="s">
        <v>9</v>
      </c>
      <c r="K21" s="109"/>
      <c r="L21" s="109"/>
      <c r="M21" s="110"/>
      <c r="N21" s="75"/>
    </row>
    <row r="22" spans="1:17" ht="18.95" customHeight="1" x14ac:dyDescent="0.25">
      <c r="A22" s="101">
        <v>20</v>
      </c>
      <c r="B22" s="102" t="s">
        <v>13</v>
      </c>
      <c r="C22" s="102"/>
      <c r="D22" s="102"/>
      <c r="E22" s="102"/>
      <c r="F22" s="103" t="str">
        <f>IF($I$16=$K$16,CONCATENATE("Νικητής Αγώνα Νο",$A$16),IF($I$16&gt;$K$16,$F$16,$H$16))</f>
        <v>Νικητής Αγώνα Νο14</v>
      </c>
      <c r="G22" s="103" t="s">
        <v>0</v>
      </c>
      <c r="H22" s="103" t="str">
        <f>IF($I$20=$K$20,CONCATENATE("Νικητής Αγώνα Νο",$A$20),IF($I$20&gt;$K$20,$F$20,$H$20))</f>
        <v>Νικητής Αγώνα Νο18</v>
      </c>
      <c r="I22" s="104"/>
      <c r="J22" s="103" t="s">
        <v>9</v>
      </c>
      <c r="K22" s="104"/>
      <c r="L22" s="104"/>
      <c r="M22" s="105"/>
      <c r="N22" s="75"/>
    </row>
    <row r="23" spans="1:17" ht="18.95" customHeight="1" x14ac:dyDescent="0.25">
      <c r="A23" s="111">
        <v>21</v>
      </c>
      <c r="B23" s="112" t="s">
        <v>28</v>
      </c>
      <c r="C23" s="112"/>
      <c r="D23" s="112"/>
      <c r="E23" s="112"/>
      <c r="F23" s="113" t="str">
        <f>IF($I$21=$K$21,CONCATENATE("Ηττημένος Αγώνα Νο",$A$21),IF($I$21&lt;$K$21,$F$21,$H$21))</f>
        <v>Ηττημένος Αγώνα Νο19</v>
      </c>
      <c r="G23" s="113" t="s">
        <v>0</v>
      </c>
      <c r="H23" s="113" t="str">
        <f>IF($I$22=$K$22,CONCATENATE("Ηττημένος Αγώνα Νο",$A$22),IF($I$22&lt;$K$22,$F$22,$H$22))</f>
        <v>Ηττημένος Αγώνα Νο20</v>
      </c>
      <c r="I23" s="114"/>
      <c r="J23" s="113"/>
      <c r="K23" s="114"/>
      <c r="L23" s="114"/>
      <c r="M23" s="115"/>
      <c r="N23" s="75"/>
    </row>
    <row r="24" spans="1:17" ht="18.95" customHeight="1" x14ac:dyDescent="0.25">
      <c r="A24" s="116">
        <v>22</v>
      </c>
      <c r="B24" s="117" t="s">
        <v>14</v>
      </c>
      <c r="C24" s="117"/>
      <c r="D24" s="117"/>
      <c r="E24" s="117"/>
      <c r="F24" s="118" t="str">
        <f>IF($I$21=$K$21,CONCATENATE("Νικητής Αγώνα Νο",$A$21),IF($I$21&gt;$K$21,$F$21,$H$21))</f>
        <v>Νικητής Αγώνα Νο19</v>
      </c>
      <c r="G24" s="118" t="s">
        <v>0</v>
      </c>
      <c r="H24" s="118" t="str">
        <f>IF($I$22=$K$22,CONCATENATE("Νικητής Αγώνα Νο",$A$22),IF($I$22&gt;$K$22,$F$22,$H$22))</f>
        <v>Νικητής Αγώνα Νο20</v>
      </c>
      <c r="I24" s="119"/>
      <c r="J24" s="118" t="s">
        <v>9</v>
      </c>
      <c r="K24" s="119"/>
      <c r="L24" s="119"/>
      <c r="M24" s="120"/>
      <c r="N24" s="75"/>
    </row>
    <row r="25" spans="1:17" x14ac:dyDescent="0.25">
      <c r="A25" s="108"/>
      <c r="B25" s="108"/>
      <c r="C25" s="121"/>
      <c r="D25" s="121"/>
      <c r="E25" s="122"/>
      <c r="F25" s="108"/>
      <c r="G25" s="108"/>
      <c r="H25" s="108"/>
      <c r="I25" s="123"/>
      <c r="J25" s="108"/>
      <c r="K25" s="123"/>
      <c r="L25" s="123"/>
      <c r="M25" s="108"/>
    </row>
    <row r="26" spans="1:17" x14ac:dyDescent="0.25">
      <c r="J26" s="65"/>
    </row>
    <row r="27" spans="1:17" x14ac:dyDescent="0.25">
      <c r="H27" s="65" t="s">
        <v>15</v>
      </c>
      <c r="I27" s="94"/>
      <c r="J27" s="65"/>
      <c r="K27" s="94"/>
      <c r="L27" s="94"/>
    </row>
    <row r="28" spans="1:17" x14ac:dyDescent="0.25">
      <c r="C28" s="127"/>
      <c r="D28" s="127"/>
      <c r="F28" s="128"/>
      <c r="G28" s="128"/>
      <c r="H28" s="128"/>
      <c r="I28" s="94"/>
      <c r="J28" s="65"/>
      <c r="K28" s="94"/>
      <c r="L28" s="94"/>
    </row>
    <row r="29" spans="1:17" x14ac:dyDescent="0.25">
      <c r="I29" s="129"/>
      <c r="J29" s="65"/>
      <c r="K29" s="129"/>
      <c r="L29" s="129"/>
    </row>
    <row r="30" spans="1:17" x14ac:dyDescent="0.25">
      <c r="J30" s="65"/>
    </row>
    <row r="31" spans="1:17" x14ac:dyDescent="0.25">
      <c r="I31" s="94"/>
      <c r="J31" s="65"/>
      <c r="K31" s="94"/>
      <c r="L31" s="94"/>
    </row>
    <row r="32" spans="1:17" x14ac:dyDescent="0.25">
      <c r="I32" s="94"/>
      <c r="J32" s="65"/>
      <c r="K32" s="94"/>
      <c r="L32" s="94"/>
    </row>
    <row r="33" spans="1:12" x14ac:dyDescent="0.25">
      <c r="I33" s="129"/>
      <c r="J33" s="130"/>
      <c r="K33" s="129"/>
      <c r="L33" s="129"/>
    </row>
    <row r="35" spans="1:12" x14ac:dyDescent="0.25">
      <c r="A35" s="124"/>
      <c r="B35" s="124"/>
      <c r="C35" s="127"/>
      <c r="D35" s="127"/>
      <c r="F35" s="124"/>
      <c r="G35" s="124"/>
      <c r="H35" s="124"/>
      <c r="I35" s="131"/>
      <c r="J35" s="131"/>
      <c r="K35" s="131"/>
      <c r="L35" s="131"/>
    </row>
    <row r="36" spans="1:12" x14ac:dyDescent="0.25">
      <c r="A36" s="124"/>
      <c r="B36" s="124"/>
      <c r="C36" s="127"/>
      <c r="D36" s="127"/>
      <c r="F36" s="124"/>
      <c r="G36" s="124"/>
      <c r="H36" s="124"/>
      <c r="I36" s="131"/>
      <c r="J36" s="131"/>
      <c r="K36" s="131"/>
      <c r="L36" s="131"/>
    </row>
    <row r="37" spans="1:12" x14ac:dyDescent="0.25">
      <c r="A37" s="124"/>
      <c r="B37" s="124"/>
      <c r="C37" s="127"/>
      <c r="D37" s="127"/>
      <c r="F37" s="124"/>
      <c r="G37" s="124"/>
      <c r="H37" s="124"/>
      <c r="I37" s="131"/>
      <c r="J37" s="131"/>
      <c r="K37" s="131"/>
      <c r="L37" s="131"/>
    </row>
    <row r="38" spans="1:12" x14ac:dyDescent="0.25">
      <c r="A38" s="124"/>
      <c r="B38" s="124"/>
      <c r="C38" s="127"/>
      <c r="D38" s="127"/>
      <c r="F38" s="124"/>
      <c r="G38" s="124"/>
      <c r="H38" s="124"/>
      <c r="I38" s="131"/>
      <c r="J38" s="131"/>
      <c r="K38" s="131"/>
      <c r="L38" s="131"/>
    </row>
    <row r="39" spans="1:12" x14ac:dyDescent="0.25">
      <c r="A39" s="124"/>
      <c r="B39" s="124"/>
      <c r="C39" s="127"/>
      <c r="D39" s="127"/>
      <c r="F39" s="124"/>
      <c r="G39" s="124"/>
      <c r="H39" s="124"/>
      <c r="I39" s="131"/>
      <c r="J39" s="131"/>
      <c r="K39" s="131"/>
      <c r="L39" s="131"/>
    </row>
    <row r="40" spans="1:12" x14ac:dyDescent="0.25">
      <c r="A40" s="124"/>
      <c r="B40" s="124"/>
      <c r="C40" s="127"/>
      <c r="D40" s="127"/>
      <c r="F40" s="124"/>
      <c r="G40" s="124"/>
      <c r="H40" s="124"/>
      <c r="I40" s="131"/>
      <c r="J40" s="131"/>
      <c r="K40" s="131"/>
      <c r="L40" s="131"/>
    </row>
    <row r="41" spans="1:12" x14ac:dyDescent="0.25">
      <c r="A41" s="124"/>
      <c r="B41" s="124"/>
      <c r="C41" s="127"/>
      <c r="D41" s="127"/>
      <c r="F41" s="124"/>
      <c r="G41" s="124"/>
      <c r="H41" s="124"/>
      <c r="I41" s="131"/>
      <c r="J41" s="131"/>
      <c r="K41" s="131"/>
      <c r="L41" s="131"/>
    </row>
    <row r="42" spans="1:12" x14ac:dyDescent="0.25">
      <c r="A42" s="124"/>
      <c r="B42" s="124"/>
      <c r="C42" s="127"/>
      <c r="D42" s="127"/>
      <c r="F42" s="124"/>
      <c r="G42" s="124"/>
      <c r="H42" s="124"/>
      <c r="I42" s="131"/>
      <c r="J42" s="131"/>
      <c r="K42" s="131"/>
      <c r="L42" s="131"/>
    </row>
    <row r="43" spans="1:12" x14ac:dyDescent="0.25">
      <c r="A43" s="124"/>
      <c r="B43" s="124"/>
      <c r="C43" s="127"/>
      <c r="D43" s="127"/>
      <c r="F43" s="124"/>
      <c r="G43" s="124"/>
      <c r="H43" s="124"/>
      <c r="I43" s="131"/>
      <c r="J43" s="131"/>
      <c r="K43" s="131"/>
      <c r="L43" s="131"/>
    </row>
    <row r="44" spans="1:12" x14ac:dyDescent="0.25">
      <c r="A44" s="124"/>
      <c r="B44" s="124"/>
      <c r="C44" s="127"/>
      <c r="D44" s="127"/>
      <c r="F44" s="124"/>
      <c r="G44" s="124"/>
      <c r="H44" s="124"/>
      <c r="I44" s="131"/>
      <c r="J44" s="131"/>
      <c r="K44" s="131"/>
      <c r="L44" s="131"/>
    </row>
    <row r="45" spans="1:12" x14ac:dyDescent="0.25">
      <c r="A45" s="124"/>
      <c r="B45" s="124"/>
      <c r="C45" s="127"/>
      <c r="D45" s="127"/>
      <c r="F45" s="124"/>
      <c r="G45" s="124"/>
      <c r="H45" s="124"/>
      <c r="I45" s="131"/>
      <c r="J45" s="131"/>
      <c r="K45" s="131"/>
      <c r="L45" s="131"/>
    </row>
    <row r="46" spans="1:12" x14ac:dyDescent="0.25">
      <c r="A46" s="124"/>
      <c r="B46" s="124"/>
      <c r="C46" s="127"/>
      <c r="D46" s="127"/>
      <c r="F46" s="124"/>
      <c r="G46" s="124"/>
      <c r="H46" s="124"/>
      <c r="I46" s="131"/>
      <c r="J46" s="131"/>
      <c r="K46" s="131"/>
      <c r="L46" s="131"/>
    </row>
    <row r="47" spans="1:12" x14ac:dyDescent="0.25">
      <c r="A47" s="124"/>
      <c r="B47" s="124"/>
      <c r="C47" s="127"/>
      <c r="D47" s="127"/>
      <c r="F47" s="124"/>
      <c r="G47" s="124"/>
      <c r="H47" s="124"/>
      <c r="I47" s="131"/>
      <c r="J47" s="131"/>
      <c r="K47" s="131"/>
      <c r="L47" s="131"/>
    </row>
    <row r="48" spans="1:12" x14ac:dyDescent="0.25">
      <c r="A48" s="124"/>
      <c r="B48" s="124"/>
      <c r="C48" s="127"/>
      <c r="D48" s="127"/>
      <c r="F48" s="124"/>
      <c r="G48" s="124"/>
      <c r="H48" s="124"/>
      <c r="I48" s="131"/>
      <c r="J48" s="131"/>
      <c r="K48" s="131"/>
      <c r="L48" s="131"/>
    </row>
    <row r="49" spans="1:12" x14ac:dyDescent="0.25">
      <c r="A49" s="124"/>
      <c r="B49" s="124"/>
      <c r="C49" s="127"/>
      <c r="D49" s="127"/>
      <c r="F49" s="124"/>
      <c r="G49" s="124"/>
      <c r="H49" s="124"/>
      <c r="I49" s="131"/>
      <c r="J49" s="131"/>
      <c r="K49" s="131"/>
      <c r="L49" s="131"/>
    </row>
    <row r="50" spans="1:12" x14ac:dyDescent="0.25">
      <c r="A50" s="124"/>
      <c r="B50" s="124"/>
      <c r="C50" s="127"/>
      <c r="D50" s="127"/>
      <c r="F50" s="124"/>
      <c r="G50" s="124"/>
      <c r="H50" s="124"/>
      <c r="I50" s="131"/>
      <c r="J50" s="131"/>
      <c r="K50" s="131"/>
      <c r="L50" s="131"/>
    </row>
    <row r="51" spans="1:12" x14ac:dyDescent="0.25">
      <c r="A51" s="124"/>
      <c r="B51" s="124"/>
      <c r="C51" s="127"/>
      <c r="D51" s="127"/>
      <c r="F51" s="124"/>
      <c r="G51" s="124"/>
      <c r="H51" s="124"/>
      <c r="I51" s="131"/>
      <c r="J51" s="131"/>
      <c r="K51" s="131"/>
      <c r="L51" s="131"/>
    </row>
    <row r="52" spans="1:12" x14ac:dyDescent="0.25">
      <c r="A52" s="124"/>
      <c r="B52" s="124"/>
      <c r="C52" s="127"/>
      <c r="D52" s="127"/>
      <c r="F52" s="124"/>
      <c r="G52" s="124"/>
      <c r="H52" s="124"/>
      <c r="I52" s="131"/>
      <c r="J52" s="131"/>
      <c r="K52" s="131"/>
      <c r="L52" s="131"/>
    </row>
    <row r="53" spans="1:12" x14ac:dyDescent="0.25">
      <c r="A53" s="124"/>
      <c r="B53" s="124"/>
      <c r="C53" s="127"/>
      <c r="D53" s="127"/>
      <c r="F53" s="124"/>
      <c r="G53" s="124"/>
      <c r="H53" s="124"/>
      <c r="I53" s="131"/>
      <c r="J53" s="131"/>
      <c r="K53" s="131"/>
      <c r="L53" s="131"/>
    </row>
    <row r="54" spans="1:12" x14ac:dyDescent="0.25">
      <c r="A54" s="124"/>
      <c r="B54" s="124"/>
      <c r="C54" s="127"/>
      <c r="D54" s="127"/>
      <c r="F54" s="124"/>
      <c r="G54" s="124"/>
      <c r="H54" s="124"/>
      <c r="I54" s="131"/>
      <c r="J54" s="131"/>
      <c r="K54" s="131"/>
      <c r="L54" s="131"/>
    </row>
    <row r="55" spans="1:12" x14ac:dyDescent="0.25">
      <c r="A55" s="124"/>
      <c r="B55" s="124"/>
      <c r="C55" s="127"/>
      <c r="D55" s="127"/>
      <c r="F55" s="124"/>
      <c r="G55" s="124"/>
      <c r="H55" s="124"/>
      <c r="I55" s="131"/>
      <c r="J55" s="131"/>
      <c r="K55" s="131"/>
      <c r="L55" s="131"/>
    </row>
    <row r="56" spans="1:12" x14ac:dyDescent="0.25">
      <c r="A56" s="124"/>
      <c r="B56" s="124"/>
      <c r="C56" s="127"/>
      <c r="D56" s="127"/>
      <c r="F56" s="124"/>
      <c r="G56" s="124"/>
      <c r="H56" s="124"/>
      <c r="I56" s="131"/>
      <c r="J56" s="131"/>
      <c r="K56" s="131"/>
      <c r="L56" s="131"/>
    </row>
    <row r="57" spans="1:12" x14ac:dyDescent="0.25">
      <c r="A57" s="124"/>
      <c r="B57" s="124"/>
      <c r="C57" s="127"/>
      <c r="D57" s="127"/>
      <c r="F57" s="124"/>
      <c r="G57" s="124"/>
      <c r="H57" s="124"/>
      <c r="I57" s="131"/>
      <c r="J57" s="131"/>
      <c r="K57" s="131"/>
      <c r="L57" s="131"/>
    </row>
    <row r="58" spans="1:12" x14ac:dyDescent="0.25">
      <c r="A58" s="124"/>
      <c r="B58" s="124"/>
      <c r="C58" s="127"/>
      <c r="D58" s="127"/>
      <c r="F58" s="124"/>
      <c r="G58" s="124"/>
      <c r="H58" s="124"/>
      <c r="I58" s="131"/>
      <c r="J58" s="131"/>
      <c r="K58" s="131"/>
      <c r="L58" s="131"/>
    </row>
    <row r="59" spans="1:12" x14ac:dyDescent="0.25">
      <c r="A59" s="124"/>
      <c r="B59" s="124"/>
      <c r="C59" s="127"/>
      <c r="D59" s="127"/>
      <c r="F59" s="124"/>
      <c r="G59" s="124"/>
      <c r="H59" s="124"/>
      <c r="I59" s="131"/>
      <c r="J59" s="131"/>
      <c r="K59" s="131"/>
      <c r="L59" s="131"/>
    </row>
    <row r="60" spans="1:12" x14ac:dyDescent="0.25">
      <c r="A60" s="124"/>
      <c r="B60" s="124"/>
      <c r="C60" s="127"/>
      <c r="D60" s="127"/>
      <c r="F60" s="124"/>
      <c r="G60" s="124"/>
      <c r="H60" s="124"/>
      <c r="I60" s="131"/>
      <c r="J60" s="131"/>
      <c r="K60" s="131"/>
      <c r="L60" s="131"/>
    </row>
    <row r="61" spans="1:12" x14ac:dyDescent="0.25">
      <c r="A61" s="124"/>
      <c r="B61" s="124"/>
      <c r="C61" s="127"/>
      <c r="D61" s="127"/>
      <c r="F61" s="124"/>
      <c r="G61" s="124"/>
      <c r="H61" s="124"/>
      <c r="I61" s="131"/>
      <c r="J61" s="131"/>
      <c r="K61" s="131"/>
      <c r="L61" s="131"/>
    </row>
    <row r="62" spans="1:12" x14ac:dyDescent="0.25">
      <c r="A62" s="124"/>
      <c r="B62" s="124"/>
      <c r="C62" s="127"/>
      <c r="D62" s="127"/>
      <c r="F62" s="124"/>
      <c r="G62" s="124"/>
      <c r="H62" s="124"/>
      <c r="I62" s="131"/>
      <c r="J62" s="131"/>
      <c r="K62" s="131"/>
      <c r="L62" s="131"/>
    </row>
    <row r="63" spans="1:12" x14ac:dyDescent="0.25">
      <c r="A63" s="124"/>
      <c r="B63" s="124"/>
      <c r="C63" s="127"/>
      <c r="D63" s="127"/>
      <c r="F63" s="124"/>
      <c r="G63" s="124"/>
      <c r="H63" s="124"/>
      <c r="I63" s="131"/>
      <c r="J63" s="131"/>
      <c r="K63" s="131"/>
      <c r="L63" s="131"/>
    </row>
    <row r="64" spans="1:12" x14ac:dyDescent="0.25">
      <c r="A64" s="124"/>
      <c r="B64" s="124"/>
      <c r="C64" s="127"/>
      <c r="D64" s="127"/>
      <c r="F64" s="124"/>
      <c r="G64" s="124"/>
      <c r="H64" s="124"/>
      <c r="I64" s="131"/>
      <c r="J64" s="131"/>
      <c r="K64" s="131"/>
      <c r="L64" s="131"/>
    </row>
    <row r="65" spans="1:12" x14ac:dyDescent="0.25">
      <c r="A65" s="124"/>
      <c r="B65" s="124"/>
      <c r="C65" s="127"/>
      <c r="D65" s="127"/>
      <c r="F65" s="124"/>
      <c r="G65" s="124"/>
      <c r="H65" s="124"/>
      <c r="I65" s="131"/>
      <c r="J65" s="131"/>
      <c r="K65" s="131"/>
      <c r="L65" s="131"/>
    </row>
    <row r="66" spans="1:12" x14ac:dyDescent="0.25">
      <c r="A66" s="124"/>
      <c r="B66" s="124"/>
      <c r="C66" s="127"/>
      <c r="D66" s="127"/>
      <c r="F66" s="124"/>
      <c r="G66" s="124"/>
      <c r="H66" s="124"/>
      <c r="I66" s="131"/>
      <c r="J66" s="131"/>
      <c r="K66" s="131"/>
      <c r="L66" s="131"/>
    </row>
    <row r="67" spans="1:12" x14ac:dyDescent="0.25">
      <c r="A67" s="124"/>
      <c r="B67" s="124"/>
      <c r="C67" s="127"/>
      <c r="D67" s="127"/>
      <c r="F67" s="124"/>
      <c r="G67" s="124"/>
      <c r="H67" s="124"/>
      <c r="I67" s="131"/>
      <c r="J67" s="131"/>
      <c r="K67" s="131"/>
      <c r="L67" s="131"/>
    </row>
    <row r="68" spans="1:12" x14ac:dyDescent="0.25">
      <c r="A68" s="124"/>
      <c r="B68" s="124"/>
      <c r="C68" s="127"/>
      <c r="D68" s="127"/>
      <c r="F68" s="124"/>
      <c r="G68" s="124"/>
      <c r="H68" s="124"/>
      <c r="I68" s="131"/>
      <c r="J68" s="131"/>
      <c r="K68" s="131"/>
      <c r="L68" s="131"/>
    </row>
    <row r="69" spans="1:12" x14ac:dyDescent="0.25">
      <c r="A69" s="124"/>
      <c r="B69" s="124"/>
      <c r="C69" s="127"/>
      <c r="D69" s="127"/>
      <c r="F69" s="124"/>
      <c r="G69" s="124"/>
      <c r="H69" s="124"/>
      <c r="I69" s="131"/>
      <c r="J69" s="131"/>
      <c r="K69" s="131"/>
      <c r="L69" s="131"/>
    </row>
    <row r="70" spans="1:12" x14ac:dyDescent="0.25">
      <c r="A70" s="124"/>
      <c r="B70" s="124"/>
      <c r="C70" s="127"/>
      <c r="D70" s="127"/>
      <c r="F70" s="124"/>
      <c r="G70" s="124"/>
      <c r="H70" s="124"/>
      <c r="I70" s="131"/>
      <c r="J70" s="131"/>
      <c r="K70" s="131"/>
      <c r="L70" s="131"/>
    </row>
    <row r="71" spans="1:12" x14ac:dyDescent="0.25">
      <c r="A71" s="124"/>
      <c r="B71" s="124"/>
      <c r="C71" s="127"/>
      <c r="D71" s="127"/>
      <c r="F71" s="124"/>
      <c r="G71" s="124"/>
      <c r="H71" s="124"/>
      <c r="I71" s="131"/>
      <c r="J71" s="131"/>
      <c r="K71" s="131"/>
      <c r="L71" s="131"/>
    </row>
    <row r="72" spans="1:12" x14ac:dyDescent="0.25">
      <c r="A72" s="124"/>
      <c r="B72" s="124"/>
      <c r="C72" s="127"/>
      <c r="D72" s="127"/>
      <c r="F72" s="124"/>
      <c r="G72" s="124"/>
      <c r="H72" s="124"/>
      <c r="I72" s="131"/>
      <c r="J72" s="131"/>
      <c r="K72" s="131"/>
      <c r="L72" s="131"/>
    </row>
    <row r="73" spans="1:12" x14ac:dyDescent="0.25">
      <c r="A73" s="124"/>
      <c r="B73" s="124"/>
      <c r="C73" s="127"/>
      <c r="D73" s="127"/>
      <c r="F73" s="124"/>
      <c r="G73" s="124"/>
      <c r="H73" s="124"/>
      <c r="I73" s="131"/>
      <c r="J73" s="131"/>
      <c r="K73" s="131"/>
      <c r="L73" s="131"/>
    </row>
    <row r="74" spans="1:12" x14ac:dyDescent="0.25">
      <c r="A74" s="124"/>
      <c r="B74" s="124"/>
      <c r="C74" s="127"/>
      <c r="D74" s="127"/>
      <c r="F74" s="124"/>
      <c r="G74" s="124"/>
      <c r="H74" s="124"/>
      <c r="I74" s="131"/>
      <c r="J74" s="131"/>
      <c r="K74" s="131"/>
      <c r="L74" s="131"/>
    </row>
    <row r="75" spans="1:12" x14ac:dyDescent="0.25">
      <c r="A75" s="124"/>
      <c r="B75" s="124"/>
      <c r="C75" s="127"/>
      <c r="D75" s="127"/>
      <c r="F75" s="124"/>
      <c r="G75" s="124"/>
      <c r="H75" s="124"/>
      <c r="I75" s="131"/>
      <c r="J75" s="131"/>
      <c r="K75" s="131"/>
      <c r="L75" s="131"/>
    </row>
    <row r="76" spans="1:12" x14ac:dyDescent="0.25">
      <c r="A76" s="124"/>
      <c r="B76" s="124"/>
      <c r="C76" s="127"/>
      <c r="D76" s="127"/>
      <c r="F76" s="124"/>
      <c r="G76" s="124"/>
      <c r="H76" s="124"/>
      <c r="I76" s="131"/>
      <c r="J76" s="131"/>
      <c r="K76" s="131"/>
      <c r="L76" s="131"/>
    </row>
    <row r="77" spans="1:12" x14ac:dyDescent="0.25">
      <c r="A77" s="124"/>
      <c r="B77" s="124"/>
      <c r="C77" s="127"/>
      <c r="D77" s="127"/>
      <c r="F77" s="124"/>
      <c r="G77" s="124"/>
      <c r="H77" s="124"/>
      <c r="I77" s="131"/>
      <c r="J77" s="131"/>
      <c r="K77" s="131"/>
      <c r="L77" s="131"/>
    </row>
    <row r="78" spans="1:12" x14ac:dyDescent="0.25">
      <c r="A78" s="124"/>
      <c r="B78" s="124"/>
      <c r="C78" s="127"/>
      <c r="D78" s="127"/>
      <c r="F78" s="124"/>
      <c r="G78" s="124"/>
      <c r="H78" s="124"/>
      <c r="I78" s="131"/>
      <c r="J78" s="131"/>
      <c r="K78" s="131"/>
      <c r="L78" s="131"/>
    </row>
    <row r="79" spans="1:12" x14ac:dyDescent="0.25">
      <c r="A79" s="124"/>
      <c r="B79" s="124"/>
      <c r="C79" s="127"/>
      <c r="D79" s="127"/>
      <c r="F79" s="124"/>
      <c r="G79" s="124"/>
      <c r="H79" s="124"/>
      <c r="I79" s="131"/>
      <c r="J79" s="131"/>
      <c r="K79" s="131"/>
      <c r="L79" s="131"/>
    </row>
    <row r="80" spans="1:12" x14ac:dyDescent="0.25">
      <c r="A80" s="124"/>
      <c r="B80" s="124"/>
      <c r="C80" s="127"/>
      <c r="D80" s="127"/>
      <c r="F80" s="124"/>
      <c r="G80" s="124"/>
      <c r="H80" s="124"/>
      <c r="I80" s="131"/>
      <c r="J80" s="131"/>
      <c r="K80" s="131"/>
      <c r="L80" s="131"/>
    </row>
    <row r="81" spans="1:12" x14ac:dyDescent="0.25">
      <c r="A81" s="124"/>
      <c r="B81" s="124"/>
      <c r="C81" s="127"/>
      <c r="D81" s="127"/>
      <c r="F81" s="124"/>
      <c r="G81" s="124"/>
      <c r="H81" s="124"/>
      <c r="I81" s="131"/>
      <c r="J81" s="131"/>
      <c r="K81" s="131"/>
      <c r="L81" s="131"/>
    </row>
    <row r="82" spans="1:12" x14ac:dyDescent="0.25">
      <c r="A82" s="124"/>
      <c r="B82" s="124"/>
      <c r="C82" s="127"/>
      <c r="D82" s="127"/>
      <c r="F82" s="124"/>
      <c r="G82" s="124"/>
      <c r="H82" s="124"/>
      <c r="I82" s="131"/>
      <c r="J82" s="131"/>
      <c r="K82" s="131"/>
      <c r="L82" s="131"/>
    </row>
    <row r="83" spans="1:12" x14ac:dyDescent="0.25">
      <c r="A83" s="124"/>
      <c r="B83" s="124"/>
      <c r="C83" s="127"/>
      <c r="D83" s="127"/>
      <c r="F83" s="124"/>
      <c r="G83" s="124"/>
      <c r="H83" s="124"/>
      <c r="I83" s="131"/>
      <c r="J83" s="131"/>
      <c r="K83" s="131"/>
      <c r="L83" s="131"/>
    </row>
    <row r="84" spans="1:12" x14ac:dyDescent="0.25">
      <c r="A84" s="124"/>
      <c r="B84" s="124"/>
      <c r="C84" s="127"/>
      <c r="D84" s="127"/>
      <c r="F84" s="124"/>
      <c r="G84" s="124"/>
      <c r="H84" s="124"/>
      <c r="I84" s="131"/>
      <c r="J84" s="131"/>
      <c r="K84" s="131"/>
      <c r="L84" s="131"/>
    </row>
    <row r="85" spans="1:12" x14ac:dyDescent="0.25">
      <c r="A85" s="124"/>
      <c r="B85" s="124"/>
      <c r="C85" s="127"/>
      <c r="D85" s="127"/>
      <c r="F85" s="124"/>
      <c r="G85" s="124"/>
      <c r="H85" s="124"/>
      <c r="I85" s="131"/>
      <c r="J85" s="131"/>
      <c r="K85" s="131"/>
      <c r="L85" s="131"/>
    </row>
    <row r="86" spans="1:12" x14ac:dyDescent="0.25">
      <c r="A86" s="124"/>
      <c r="B86" s="124"/>
      <c r="C86" s="127"/>
      <c r="D86" s="127"/>
      <c r="F86" s="124"/>
      <c r="G86" s="124"/>
      <c r="H86" s="124"/>
      <c r="I86" s="131"/>
      <c r="J86" s="131"/>
      <c r="K86" s="131"/>
      <c r="L86" s="131"/>
    </row>
    <row r="87" spans="1:12" x14ac:dyDescent="0.25">
      <c r="A87" s="124"/>
      <c r="B87" s="124"/>
      <c r="C87" s="127"/>
      <c r="D87" s="127"/>
      <c r="F87" s="124"/>
      <c r="G87" s="124"/>
      <c r="H87" s="124"/>
      <c r="I87" s="131"/>
      <c r="J87" s="131"/>
      <c r="K87" s="131"/>
      <c r="L87" s="131"/>
    </row>
    <row r="88" spans="1:12" x14ac:dyDescent="0.25">
      <c r="A88" s="124"/>
      <c r="B88" s="124"/>
      <c r="C88" s="127"/>
      <c r="D88" s="127"/>
      <c r="F88" s="124"/>
      <c r="G88" s="124"/>
      <c r="H88" s="124"/>
      <c r="I88" s="131"/>
      <c r="J88" s="131"/>
      <c r="K88" s="131"/>
      <c r="L88" s="131"/>
    </row>
    <row r="89" spans="1:12" x14ac:dyDescent="0.25">
      <c r="A89" s="124"/>
      <c r="B89" s="124"/>
      <c r="C89" s="127"/>
      <c r="D89" s="127"/>
      <c r="F89" s="124"/>
      <c r="G89" s="124"/>
      <c r="H89" s="124"/>
      <c r="I89" s="131"/>
      <c r="J89" s="131"/>
      <c r="K89" s="131"/>
      <c r="L89" s="131"/>
    </row>
    <row r="90" spans="1:12" x14ac:dyDescent="0.25">
      <c r="A90" s="124"/>
      <c r="B90" s="124"/>
      <c r="C90" s="127"/>
      <c r="D90" s="127"/>
      <c r="F90" s="124"/>
      <c r="G90" s="124"/>
      <c r="H90" s="124"/>
      <c r="I90" s="131"/>
      <c r="J90" s="131"/>
      <c r="K90" s="131"/>
      <c r="L90" s="131"/>
    </row>
    <row r="91" spans="1:12" x14ac:dyDescent="0.25">
      <c r="A91" s="124"/>
      <c r="B91" s="124"/>
      <c r="C91" s="127"/>
      <c r="D91" s="127"/>
      <c r="F91" s="124"/>
      <c r="G91" s="124"/>
      <c r="H91" s="124"/>
      <c r="I91" s="131"/>
      <c r="J91" s="131"/>
      <c r="K91" s="131"/>
      <c r="L91" s="131"/>
    </row>
    <row r="92" spans="1:12" x14ac:dyDescent="0.25">
      <c r="A92" s="124"/>
      <c r="B92" s="124"/>
      <c r="C92" s="127"/>
      <c r="D92" s="127"/>
      <c r="F92" s="124"/>
      <c r="G92" s="124"/>
      <c r="H92" s="124"/>
      <c r="I92" s="131"/>
      <c r="J92" s="131"/>
      <c r="K92" s="131"/>
      <c r="L92" s="131"/>
    </row>
    <row r="93" spans="1:12" x14ac:dyDescent="0.25">
      <c r="A93" s="124"/>
      <c r="B93" s="124"/>
      <c r="C93" s="127"/>
      <c r="D93" s="127"/>
      <c r="F93" s="124"/>
      <c r="G93" s="124"/>
      <c r="H93" s="124"/>
      <c r="I93" s="131"/>
      <c r="J93" s="131"/>
      <c r="K93" s="131"/>
      <c r="L93" s="131"/>
    </row>
    <row r="94" spans="1:12" x14ac:dyDescent="0.25">
      <c r="A94" s="124"/>
      <c r="B94" s="124"/>
      <c r="C94" s="127"/>
      <c r="D94" s="127"/>
      <c r="F94" s="124"/>
      <c r="G94" s="124"/>
      <c r="H94" s="124"/>
      <c r="I94" s="131"/>
      <c r="J94" s="131"/>
      <c r="K94" s="131"/>
      <c r="L94" s="131"/>
    </row>
    <row r="95" spans="1:12" x14ac:dyDescent="0.25">
      <c r="A95" s="124"/>
      <c r="B95" s="124"/>
      <c r="C95" s="127"/>
      <c r="D95" s="127"/>
      <c r="F95" s="124"/>
      <c r="G95" s="124"/>
      <c r="H95" s="124"/>
      <c r="I95" s="131"/>
      <c r="J95" s="131"/>
      <c r="K95" s="131"/>
      <c r="L95" s="131"/>
    </row>
    <row r="96" spans="1:12" x14ac:dyDescent="0.25">
      <c r="A96" s="124"/>
      <c r="B96" s="124"/>
      <c r="C96" s="127"/>
      <c r="D96" s="127"/>
      <c r="F96" s="124"/>
      <c r="G96" s="124"/>
      <c r="H96" s="124"/>
      <c r="I96" s="131"/>
      <c r="J96" s="131"/>
      <c r="K96" s="131"/>
      <c r="L96" s="131"/>
    </row>
  </sheetData>
  <mergeCells count="2">
    <mergeCell ref="I2:K2"/>
    <mergeCell ref="A1:M1"/>
  </mergeCells>
  <phoneticPr fontId="0" type="noConversion"/>
  <conditionalFormatting sqref="F3:F24">
    <cfRule type="expression" dxfId="1" priority="1" stopIfTrue="1">
      <formula>I3-K3&gt;0</formula>
    </cfRule>
  </conditionalFormatting>
  <conditionalFormatting sqref="H3:H24">
    <cfRule type="expression" dxfId="0" priority="2" stopIfTrue="1">
      <formula>I3-K3&lt;0</formula>
    </cfRule>
  </conditionalFormatting>
  <printOptions horizontalCentered="1"/>
  <pageMargins left="0.43307086614173229" right="0.39370078740157483" top="0.94488188976377963" bottom="0.15748031496062992" header="0.23622047244094491" footer="0.15748031496062992"/>
  <pageSetup paperSize="9" scale="84" orientation="landscape" horizontalDpi="300" verticalDpi="300" r:id="rId1"/>
  <headerFooter differentOddEven="1" alignWithMargins="0">
    <oddFooter xml:space="preserve">&amp;R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M78"/>
  <sheetViews>
    <sheetView view="pageBreakPreview" zoomScaleNormal="100" zoomScaleSheetLayoutView="100" workbookViewId="0">
      <selection activeCell="E42" sqref="E42"/>
    </sheetView>
  </sheetViews>
  <sheetFormatPr defaultColWidth="5.7109375" defaultRowHeight="9" customHeight="1" x14ac:dyDescent="0.2"/>
  <cols>
    <col min="1" max="1" width="23.85546875" style="3" customWidth="1"/>
    <col min="2" max="2" width="17.140625" style="4" customWidth="1"/>
    <col min="3" max="3" width="16.42578125" style="4" customWidth="1"/>
    <col min="4" max="4" width="22" style="4" customWidth="1"/>
    <col min="5" max="7" width="17.140625" style="4" customWidth="1"/>
    <col min="8" max="8" width="23.140625" style="4" customWidth="1"/>
    <col min="9" max="9" width="27.85546875" style="4" bestFit="1" customWidth="1"/>
    <col min="10" max="16384" width="5.7109375" style="4"/>
  </cols>
  <sheetData>
    <row r="3" spans="1:9" ht="9" customHeight="1" x14ac:dyDescent="0.2">
      <c r="I3" s="5" t="str">
        <f>CONCATENATE(Αποτελεσματα!$F$11," ")</f>
        <v xml:space="preserve">Ηττημένος Αγώνα Νο4 </v>
      </c>
    </row>
    <row r="4" spans="1:9" ht="9" customHeight="1" x14ac:dyDescent="0.2">
      <c r="I4" s="6"/>
    </row>
    <row r="5" spans="1:9" ht="9" customHeight="1" x14ac:dyDescent="0.2">
      <c r="H5" s="5" t="str">
        <f>CONCATENATE(Αποτελεσματα!$F$17," ")</f>
        <v xml:space="preserve">Νικητής Αγώνα Νο9 </v>
      </c>
      <c r="I5" s="7" t="str">
        <f>CONCATENATE("",Αποτελεσματα!$A$11,"")</f>
        <v>9</v>
      </c>
    </row>
    <row r="6" spans="1:9" ht="9" customHeight="1" x14ac:dyDescent="0.2">
      <c r="H6" s="8"/>
      <c r="I6" s="9" t="str">
        <f>CONCATENATE("(",Αποτελεσματα!$I$11," : ",Αποτελεσματα!$K$11,")")</f>
        <v>( : )</v>
      </c>
    </row>
    <row r="7" spans="1:9" ht="9" customHeight="1" x14ac:dyDescent="0.2">
      <c r="A7" s="1"/>
      <c r="B7" s="10" t="str">
        <f>CONCATENATE(Αποτελεσματα!$F$7," ")</f>
        <v xml:space="preserve">Ομάδα Νο1 </v>
      </c>
      <c r="C7" s="3"/>
      <c r="D7" s="3"/>
      <c r="E7" s="11"/>
      <c r="F7" s="3"/>
      <c r="H7" s="12"/>
      <c r="I7" s="13" t="str">
        <f>CONCATENATE(Αποτελεσματα!$H$11," ")</f>
        <v xml:space="preserve">Ηττημένος Αγώνα Νο5 </v>
      </c>
    </row>
    <row r="8" spans="1:9" ht="9" customHeight="1" x14ac:dyDescent="0.2">
      <c r="A8" s="1"/>
      <c r="B8" s="14"/>
      <c r="C8" s="3"/>
      <c r="D8" s="3"/>
      <c r="E8" s="11"/>
      <c r="F8" s="3"/>
      <c r="H8" s="12"/>
      <c r="I8" s="15"/>
    </row>
    <row r="9" spans="1:9" ht="9" customHeight="1" x14ac:dyDescent="0.2">
      <c r="A9" s="10" t="str">
        <f>CONCATENATE(Αποτελεσματα!$F$3," ")</f>
        <v xml:space="preserve">Ομάδα Νο8 </v>
      </c>
      <c r="B9" s="16" t="str">
        <f>CONCATENATE("",Αποτελεσματα!$A$7,"")</f>
        <v>5</v>
      </c>
      <c r="C9" s="17" t="str">
        <f>CONCATENATE(Αποτελεσματα!$F$15," ")</f>
        <v xml:space="preserve">Νικητής Αγώνα Νο5 </v>
      </c>
      <c r="D9" s="3"/>
      <c r="E9" s="11"/>
      <c r="F9" s="3"/>
      <c r="G9" s="5" t="str">
        <f>CONCATENATE(Αποτελεσματα!$F$19," ")</f>
        <v xml:space="preserve">Νικητής Αγώνα Νο15 </v>
      </c>
      <c r="H9" s="7" t="str">
        <f>CONCATENATE("",Αποτελεσματα!$A$17,"")</f>
        <v>15</v>
      </c>
    </row>
    <row r="10" spans="1:9" ht="9" customHeight="1" x14ac:dyDescent="0.2">
      <c r="A10" s="18" t="str">
        <f>CONCATENATE("(",Αποτελεσματα!$I$3," : ",Αποτελεσματα!$K$3,")")</f>
        <v>( : )</v>
      </c>
      <c r="B10" s="19" t="str">
        <f>CONCATENATE("(",Αποτελεσματα!$I$7," : ",Αποτελεσματα!$K$7,")")</f>
        <v>( : )</v>
      </c>
      <c r="C10" s="14"/>
      <c r="D10" s="3"/>
      <c r="E10" s="11"/>
      <c r="F10" s="3"/>
      <c r="G10" s="8"/>
      <c r="H10" s="12"/>
    </row>
    <row r="11" spans="1:9" ht="9" customHeight="1" x14ac:dyDescent="0.2">
      <c r="A11" s="16" t="str">
        <f>CONCATENATE("",Αποτελεσματα!$A$3,"")</f>
        <v>1</v>
      </c>
      <c r="B11" s="20" t="str">
        <f>CONCATENATE(Αποτελεσματα!$H$7," ")</f>
        <v xml:space="preserve">Νικητής Αγώνα Νο1 </v>
      </c>
      <c r="C11" s="21"/>
      <c r="E11" s="22" t="str">
        <f>CONCATENATE("",Αποτελεσματα!$A$21,"")</f>
        <v>19</v>
      </c>
      <c r="F11" s="1"/>
      <c r="G11" s="12"/>
      <c r="H11" s="9" t="str">
        <f>CONCATENATE("(",Αποτελεσματα!$I$17," : ",Αποτελεσματα!$K$17,")")</f>
        <v>( : )</v>
      </c>
      <c r="I11" s="5" t="str">
        <f>CONCATENATE(Αποτελεσματα!$F$12," ")</f>
        <v xml:space="preserve">Ηττημένος Αγώνα Νο3 </v>
      </c>
    </row>
    <row r="12" spans="1:9" ht="9" customHeight="1" x14ac:dyDescent="0.2">
      <c r="A12" s="20" t="str">
        <f>CONCATENATE(Αποτελεσματα!$H$3," ")</f>
        <v xml:space="preserve">Ομάδα Νο9 </v>
      </c>
      <c r="B12" s="15"/>
      <c r="C12" s="23"/>
      <c r="F12" s="1"/>
      <c r="G12" s="24"/>
      <c r="H12" s="12"/>
      <c r="I12" s="6"/>
    </row>
    <row r="13" spans="1:9" ht="9" customHeight="1" x14ac:dyDescent="0.2">
      <c r="A13" s="25"/>
      <c r="B13" s="25"/>
      <c r="C13" s="16" t="str">
        <f>CONCATENATE("",Αποτελεσματα!$A$15,"")</f>
        <v>13</v>
      </c>
      <c r="D13" s="5" t="str">
        <f>CONCATENATE(Αποτελεσματα!$F$21," ")</f>
        <v xml:space="preserve">Νικητής Αγώνα Νο13 </v>
      </c>
      <c r="E13" s="26" t="str">
        <f>CONCATENATE("(",Αποτελεσματα!$I$21," : ",Αποτελεσματα!$K$21,")")</f>
        <v>( : )</v>
      </c>
      <c r="F13" s="5" t="str">
        <f>CONCATENATE(Αποτελεσματα!$H$21," ")</f>
        <v xml:space="preserve">Νικητής Αγώνα Νο17 </v>
      </c>
      <c r="G13" s="27" t="str">
        <f>CONCATENATE("",Αποτελεσματα!$A$19,"")</f>
        <v>17</v>
      </c>
      <c r="H13" s="5" t="str">
        <f>CONCATENATE(Αποτελεσματα!$H$17," ")</f>
        <v xml:space="preserve">Νικητής Αγώνα Νο10 </v>
      </c>
      <c r="I13" s="7" t="str">
        <f>CONCATENATE("",Αποτελεσματα!$A$12,"")</f>
        <v>10</v>
      </c>
    </row>
    <row r="14" spans="1:9" ht="9" customHeight="1" x14ac:dyDescent="0.2">
      <c r="A14" s="10" t="str">
        <f>CONCATENATE(Αποτελεσματα!$F$4," ")</f>
        <v xml:space="preserve">Ομάδα Νο5 </v>
      </c>
      <c r="B14" s="25"/>
      <c r="C14" s="21"/>
      <c r="D14" s="28"/>
      <c r="E14" s="29"/>
      <c r="F14" s="1"/>
      <c r="G14" s="12"/>
      <c r="H14" s="14"/>
      <c r="I14" s="9" t="str">
        <f>CONCATENATE("(",Αποτελεσματα!$I$12," : ",Αποτελεσματα!$K$12,")")</f>
        <v>( : )</v>
      </c>
    </row>
    <row r="15" spans="1:9" ht="9" customHeight="1" x14ac:dyDescent="0.2">
      <c r="A15" s="18" t="str">
        <f>CONCATENATE("(",Αποτελεσματα!$I$4," : ",Αποτελεσματα!$K$4,")")</f>
        <v>( : )</v>
      </c>
      <c r="C15" s="19" t="str">
        <f>CONCATENATE("(",Αποτελεσματα!$I$15," : ",Αποτελεσματα!$K$15,")")</f>
        <v>( : )</v>
      </c>
      <c r="E15" s="2"/>
      <c r="F15" s="1"/>
      <c r="G15" s="9" t="str">
        <f>CONCATENATE("(",Αποτελεσματα!$I$19," : ",Αποτελεσματα!$K$19,")")</f>
        <v>( : )</v>
      </c>
      <c r="I15" s="13" t="str">
        <f>CONCATENATE(Αποτελεσματα!$H$12," ")</f>
        <v xml:space="preserve">Ηττημένος Αγώνα Νο6 </v>
      </c>
    </row>
    <row r="16" spans="1:9" ht="9" customHeight="1" x14ac:dyDescent="0.2">
      <c r="A16" s="16" t="str">
        <f>CONCATENATE("",Αποτελεσματα!$A$4,"")</f>
        <v>2</v>
      </c>
      <c r="B16" s="17" t="str">
        <f>CONCATENATE(Αποτελεσματα!$H$8," ")</f>
        <v xml:space="preserve">Νικητής Αγώνα Νο2 </v>
      </c>
      <c r="C16" s="21"/>
      <c r="D16" s="1"/>
      <c r="E16" s="2"/>
      <c r="G16" s="12"/>
      <c r="I16" s="15"/>
    </row>
    <row r="17" spans="1:13" ht="9" customHeight="1" x14ac:dyDescent="0.2">
      <c r="A17" s="20" t="str">
        <f>CONCATENATE(Αποτελεσματα!$H$4," ")</f>
        <v xml:space="preserve">Ομάδα Νο12 </v>
      </c>
      <c r="B17" s="14"/>
      <c r="C17" s="30"/>
      <c r="D17" s="1"/>
      <c r="E17" s="2"/>
      <c r="G17" s="13" t="str">
        <f>CONCATENATE(Αποτελεσματα!$H$19," ")</f>
        <v xml:space="preserve">Ηττημένος Αγώνα Νο14 </v>
      </c>
    </row>
    <row r="18" spans="1:13" ht="9" customHeight="1" x14ac:dyDescent="0.2">
      <c r="A18" s="25"/>
      <c r="B18" s="16" t="str">
        <f>CONCATENATE("",Αποτελεσματα!$A$8,"")</f>
        <v>6</v>
      </c>
      <c r="C18" s="20" t="str">
        <f>CONCATENATE(Αποτελεσματα!$H$15," ")</f>
        <v xml:space="preserve">Νικητής Αγώνα Νο6 </v>
      </c>
      <c r="D18" s="1"/>
      <c r="E18" s="31"/>
      <c r="F18" s="1"/>
      <c r="G18" s="15"/>
    </row>
    <row r="19" spans="1:13" ht="9" customHeight="1" x14ac:dyDescent="0.2">
      <c r="A19" s="1"/>
      <c r="B19" s="19" t="str">
        <f>CONCATENATE("(",Αποτελεσματα!$K$8," : ",Αποτελεσματα!$I$8,")")</f>
        <v>( : )</v>
      </c>
      <c r="C19" s="3"/>
      <c r="D19" s="32"/>
      <c r="E19" s="33" t="str">
        <f>CONCATENATE(Αποτελεσματα!$F$24," ")</f>
        <v xml:space="preserve">Νικητής Αγώνα Νο19 </v>
      </c>
      <c r="F19" s="1"/>
      <c r="I19" s="25"/>
    </row>
    <row r="20" spans="1:13" ht="9" customHeight="1" x14ac:dyDescent="0.2">
      <c r="A20" s="1"/>
      <c r="B20" s="20" t="str">
        <f>CONCATENATE(Αποτελεσματα!$F$8," ")</f>
        <v xml:space="preserve">Ομάδα Νο4 </v>
      </c>
      <c r="C20" s="3"/>
      <c r="D20" s="32"/>
      <c r="E20" s="34"/>
      <c r="F20" s="1"/>
      <c r="I20" s="25"/>
    </row>
    <row r="21" spans="1:13" ht="9" customHeight="1" x14ac:dyDescent="0.2">
      <c r="A21" s="1"/>
      <c r="C21" s="3"/>
      <c r="D21" s="32"/>
      <c r="E21" s="35" t="s">
        <v>1</v>
      </c>
      <c r="F21" s="1"/>
      <c r="I21" s="25"/>
    </row>
    <row r="22" spans="1:13" ht="9" customHeight="1" x14ac:dyDescent="0.25">
      <c r="A22" s="1"/>
      <c r="B22" s="10"/>
      <c r="C22" s="3"/>
      <c r="D22" s="32"/>
      <c r="E22" s="36"/>
      <c r="F22" s="1"/>
      <c r="I22" s="25"/>
    </row>
    <row r="23" spans="1:13" ht="9" customHeight="1" x14ac:dyDescent="0.2">
      <c r="A23" s="1"/>
      <c r="B23" s="1"/>
      <c r="C23" s="3"/>
      <c r="D23" s="32"/>
      <c r="E23" s="37" t="str">
        <f>CONCATENATE("",Αποτελεσματα!$A$24,"")</f>
        <v>22</v>
      </c>
      <c r="F23" s="1"/>
      <c r="I23" s="5" t="str">
        <f>CONCATENATE(Αποτελεσματα!$F$13," ")</f>
        <v xml:space="preserve">Ηττημένος Αγώνα Νο2 </v>
      </c>
    </row>
    <row r="24" spans="1:13" ht="9" customHeight="1" x14ac:dyDescent="0.2">
      <c r="A24" s="1"/>
      <c r="B24" s="1"/>
      <c r="C24" s="3"/>
      <c r="D24" s="1"/>
      <c r="F24" s="1"/>
      <c r="I24" s="6"/>
    </row>
    <row r="25" spans="1:13" ht="9" customHeight="1" x14ac:dyDescent="0.2">
      <c r="A25" s="1"/>
      <c r="B25" s="1"/>
      <c r="C25" s="3"/>
      <c r="D25" s="1"/>
      <c r="E25" s="26" t="str">
        <f>CONCATENATE("(",Αποτελεσματα!$I$24," : ",Αποτελεσματα!$K$24,")")</f>
        <v>( : )</v>
      </c>
      <c r="F25" s="1"/>
      <c r="H25" s="5" t="str">
        <f>CONCATENATE(Αποτελεσματα!$F$18," ")</f>
        <v xml:space="preserve">Νικητής Αγώνα Νο11 </v>
      </c>
      <c r="I25" s="7" t="str">
        <f>CONCATENATE("",Αποτελεσματα!$A$13,"")</f>
        <v>11</v>
      </c>
    </row>
    <row r="26" spans="1:13" ht="9" customHeight="1" x14ac:dyDescent="0.2">
      <c r="A26" s="4"/>
      <c r="B26" s="25"/>
      <c r="D26" s="1"/>
      <c r="F26" s="1"/>
      <c r="H26" s="8"/>
      <c r="I26" s="9" t="str">
        <f>CONCATENATE("(",Αποτελεσματα!$I$13," : ",Αποτελεσματα!$K$13,")")</f>
        <v>( : )</v>
      </c>
    </row>
    <row r="27" spans="1:13" ht="9" customHeight="1" x14ac:dyDescent="0.2">
      <c r="A27" s="1"/>
      <c r="B27" s="38" t="str">
        <f>CONCATENATE(Αποτελεσματα!$F$9," ")</f>
        <v xml:space="preserve">Ομάδα Νο3 </v>
      </c>
      <c r="C27" s="3"/>
      <c r="D27" s="1"/>
      <c r="E27" s="33" t="str">
        <f>CONCATENATE(Αποτελεσματα!$H$24," ")</f>
        <v xml:space="preserve">Νικητής Αγώνα Νο20 </v>
      </c>
      <c r="F27" s="1"/>
      <c r="H27" s="12"/>
      <c r="I27" s="13" t="str">
        <f>CONCATENATE(Αποτελεσματα!$H$13," ")</f>
        <v xml:space="preserve">Ηττημένος Αγώνα Νο7 </v>
      </c>
    </row>
    <row r="28" spans="1:13" ht="9" customHeight="1" x14ac:dyDescent="0.2">
      <c r="A28" s="1"/>
      <c r="B28" s="14"/>
      <c r="C28" s="3"/>
      <c r="D28" s="1"/>
      <c r="E28" s="39"/>
      <c r="F28" s="1"/>
      <c r="H28" s="12"/>
      <c r="I28" s="15"/>
      <c r="M28" s="1"/>
    </row>
    <row r="29" spans="1:13" ht="9" customHeight="1" x14ac:dyDescent="0.25">
      <c r="A29" s="38" t="str">
        <f>CONCATENATE(Αποτελεσματα!$F$5," ")</f>
        <v xml:space="preserve">Ομάδα Νο6 </v>
      </c>
      <c r="B29" s="16" t="str">
        <f>CONCATENATE("",Αποτελεσματα!$A$9,"")</f>
        <v>7</v>
      </c>
      <c r="C29" s="17" t="str">
        <f>CONCATENATE(Αποτελεσματα!$F$16," ")</f>
        <v xml:space="preserve">Νικητής Αγώνα Νο7 </v>
      </c>
      <c r="D29" s="1"/>
      <c r="E29" s="40"/>
      <c r="F29" s="1"/>
      <c r="G29" s="5" t="str">
        <f>CONCATENATE(Αποτελεσματα!$F$20," ")</f>
        <v xml:space="preserve">Νικητής Αγώνα Νο16 </v>
      </c>
      <c r="H29" s="7" t="str">
        <f>CONCATENATE("",Αποτελεσματα!$A$18,"")</f>
        <v>16</v>
      </c>
    </row>
    <row r="30" spans="1:13" ht="9" customHeight="1" x14ac:dyDescent="0.2">
      <c r="A30" s="18" t="str">
        <f>CONCATENATE("(",Αποτελεσματα!$I$5," : ",Αποτελεσματα!$K$5,")")</f>
        <v>( : )</v>
      </c>
      <c r="B30" s="19" t="str">
        <f>CONCATENATE("(",Αποτελεσματα!$I$9," : ",Αποτελεσματα!$K$9,")")</f>
        <v>( : )</v>
      </c>
      <c r="C30" s="14"/>
      <c r="D30" s="1"/>
      <c r="E30" s="31"/>
      <c r="F30" s="1"/>
      <c r="G30" s="8"/>
      <c r="H30" s="12"/>
    </row>
    <row r="31" spans="1:13" ht="9" customHeight="1" x14ac:dyDescent="0.2">
      <c r="A31" s="16" t="str">
        <f>CONCATENATE("",Αποτελεσματα!$A$5,"")</f>
        <v>3</v>
      </c>
      <c r="B31" s="41" t="str">
        <f>CONCATENATE(Αποτελεσματα!$H$9," ")</f>
        <v xml:space="preserve">Νικητής Αγώνα Νο3 </v>
      </c>
      <c r="C31" s="21"/>
      <c r="E31" s="22" t="str">
        <f>CONCATENATE("",Αποτελεσματα!$A$22,"")</f>
        <v>20</v>
      </c>
      <c r="F31" s="1"/>
      <c r="G31" s="12"/>
      <c r="H31" s="9" t="str">
        <f>CONCATENATE("(",Αποτελεσματα!$I$18," : ",Αποτελεσματα!$K$18,")")</f>
        <v>( : )</v>
      </c>
      <c r="I31" s="5" t="str">
        <f>CONCATENATE(Αποτελεσματα!$F$14," ")</f>
        <v xml:space="preserve">Ηττημένος Αγώνα Νο1 </v>
      </c>
    </row>
    <row r="32" spans="1:13" ht="9" customHeight="1" x14ac:dyDescent="0.2">
      <c r="A32" s="20" t="str">
        <f>CONCATENATE(Αποτελεσματα!$H$5," ")</f>
        <v xml:space="preserve">Ομάδα Νο11 </v>
      </c>
      <c r="C32" s="21"/>
      <c r="D32" s="1"/>
      <c r="E32" s="26"/>
      <c r="F32" s="1"/>
      <c r="G32" s="7" t="str">
        <f>CONCATENATE("",Αποτελεσματα!$A$20,"")</f>
        <v>18</v>
      </c>
      <c r="H32" s="12"/>
      <c r="I32" s="6"/>
    </row>
    <row r="33" spans="1:9" ht="9" customHeight="1" x14ac:dyDescent="0.2">
      <c r="A33" s="25"/>
      <c r="B33" s="25"/>
      <c r="C33" s="16" t="str">
        <f>CONCATENATE("",Αποτελεσματα!$A$16,"")</f>
        <v>14</v>
      </c>
      <c r="D33" s="5" t="str">
        <f>CONCATENATE(Αποτελεσματα!$F$22," ")</f>
        <v xml:space="preserve">Νικητής Αγώνα Νο14 </v>
      </c>
      <c r="E33" s="26" t="str">
        <f>CONCATENATE("(",Αποτελεσματα!$I$22," : ",Αποτελεσματα!$K$22,")")</f>
        <v>( : )</v>
      </c>
      <c r="F33" s="5" t="str">
        <f>CONCATENATE(Αποτελεσματα!$H$22," ")</f>
        <v xml:space="preserve">Νικητής Αγώνα Νο18 </v>
      </c>
      <c r="G33" s="12"/>
      <c r="H33" s="42" t="str">
        <f>CONCATENATE(Αποτελεσματα!$H$18," ")</f>
        <v xml:space="preserve">Νικητής Αγώνα Νο12 </v>
      </c>
      <c r="I33" s="7" t="str">
        <f>CONCATENATE("",Αποτελεσματα!$A$14,"")</f>
        <v>12</v>
      </c>
    </row>
    <row r="34" spans="1:9" ht="9" customHeight="1" x14ac:dyDescent="0.2">
      <c r="A34" s="10" t="str">
        <f>CONCATENATE(Αποτελεσματα!$F$6," ")</f>
        <v xml:space="preserve">Ομάδα Νο7 </v>
      </c>
      <c r="B34" s="25"/>
      <c r="C34" s="21"/>
      <c r="D34" s="1"/>
      <c r="E34" s="43"/>
      <c r="F34" s="1"/>
      <c r="G34" s="9" t="str">
        <f>CONCATENATE("(",Αποτελεσματα!$I$20," : ",Αποτελεσματα!$K$20,")")</f>
        <v>( : )</v>
      </c>
      <c r="H34" s="14"/>
      <c r="I34" s="9" t="str">
        <f>CONCATENATE("(",Αποτελεσματα!$I$14," : ",Αποτελεσματα!$K$14,")")</f>
        <v>( : )</v>
      </c>
    </row>
    <row r="35" spans="1:9" ht="9" customHeight="1" x14ac:dyDescent="0.2">
      <c r="A35" s="18" t="str">
        <f>CONCATENATE("(",Αποτελεσματα!$I$6," : ",Αποτελεσματα!$K$6,")")</f>
        <v>( : )</v>
      </c>
      <c r="C35" s="19" t="str">
        <f>CONCATENATE("(",Αποτελεσματα!$I$16," : ",Αποτελεσματα!$K$16,")")</f>
        <v>( : )</v>
      </c>
      <c r="D35" s="44"/>
      <c r="E35" s="31"/>
      <c r="F35" s="44"/>
      <c r="G35" s="12"/>
      <c r="I35" s="13" t="str">
        <f>CONCATENATE(Αποτελεσματα!$H$14," ")</f>
        <v xml:space="preserve">Ηττημένος Αγώνα Νο8 </v>
      </c>
    </row>
    <row r="36" spans="1:9" ht="9" customHeight="1" x14ac:dyDescent="0.2">
      <c r="A36" s="16" t="str">
        <f>CONCATENATE("",Αποτελεσματα!$A$6,"")</f>
        <v>4</v>
      </c>
      <c r="B36" s="10" t="str">
        <f>CONCATENATE(Αποτελεσματα!$H$10," ")</f>
        <v xml:space="preserve">Νικητής Αγώνα Νο4 </v>
      </c>
      <c r="C36" s="21"/>
      <c r="D36" s="1"/>
      <c r="F36" s="1"/>
      <c r="G36" s="12"/>
      <c r="I36" s="15"/>
    </row>
    <row r="37" spans="1:9" ht="9" customHeight="1" x14ac:dyDescent="0.2">
      <c r="A37" s="20" t="str">
        <f>CONCATENATE(Αποτελεσματα!$H$6," ")</f>
        <v xml:space="preserve">Ομάδα Νο10 </v>
      </c>
      <c r="B37" s="14"/>
      <c r="C37" s="30"/>
      <c r="D37" s="25"/>
      <c r="F37" s="45"/>
      <c r="G37" s="13" t="str">
        <f>CONCATENATE(Αποτελεσματα!$H$20," ")</f>
        <v xml:space="preserve">Ηττημένος Αγώνα Νο13 </v>
      </c>
    </row>
    <row r="38" spans="1:9" ht="9" customHeight="1" x14ac:dyDescent="0.2">
      <c r="A38" s="25"/>
      <c r="B38" s="16" t="str">
        <f>CONCATENATE("",Αποτελεσματα!$A$10,"")</f>
        <v>8</v>
      </c>
      <c r="C38" s="20" t="str">
        <f>CONCATENATE(Αποτελεσματα!$H$16," ")</f>
        <v xml:space="preserve">Νικητής Αγώνα Νο8 </v>
      </c>
      <c r="D38" s="1"/>
      <c r="F38" s="1"/>
      <c r="G38" s="15"/>
    </row>
    <row r="39" spans="1:9" ht="9" customHeight="1" x14ac:dyDescent="0.2">
      <c r="A39" s="1"/>
      <c r="B39" s="19" t="str">
        <f>CONCATENATE("(",Αποτελεσματα!$K$10," : ",Αποτελεσματα!$I$10,")")</f>
        <v>( : )</v>
      </c>
      <c r="C39" s="3"/>
      <c r="D39" s="32"/>
      <c r="F39" s="1"/>
    </row>
    <row r="40" spans="1:9" ht="9" customHeight="1" x14ac:dyDescent="0.2">
      <c r="A40" s="1"/>
      <c r="B40" s="20" t="str">
        <f>CONCATENATE(Αποτελεσματα!$F$10," ")</f>
        <v xml:space="preserve">Ομάδα Νο2 </v>
      </c>
      <c r="C40" s="3"/>
      <c r="D40" s="1"/>
      <c r="E40" s="1"/>
      <c r="F40" s="1"/>
    </row>
    <row r="41" spans="1:9" ht="9" customHeight="1" x14ac:dyDescent="0.2">
      <c r="A41" s="1"/>
      <c r="B41" s="25"/>
      <c r="C41" s="3"/>
      <c r="D41" s="1"/>
      <c r="E41" s="1"/>
      <c r="F41" s="1"/>
    </row>
    <row r="42" spans="1:9" ht="9" customHeight="1" x14ac:dyDescent="0.2">
      <c r="A42" s="1"/>
      <c r="B42" s="25"/>
      <c r="C42" s="3"/>
      <c r="D42" s="1"/>
      <c r="E42" s="1"/>
      <c r="F42" s="1"/>
    </row>
    <row r="43" spans="1:9" s="1" customFormat="1" ht="9" customHeight="1" x14ac:dyDescent="0.2"/>
    <row r="44" spans="1:9" s="1" customFormat="1" ht="9" customHeight="1" x14ac:dyDescent="0.2"/>
    <row r="45" spans="1:9" s="1" customFormat="1" ht="9" customHeight="1" x14ac:dyDescent="0.2"/>
    <row r="46" spans="1:9" s="1" customFormat="1" ht="9" customHeight="1" x14ac:dyDescent="0.2"/>
    <row r="47" spans="1:9" s="1" customFormat="1" ht="9" customHeight="1" x14ac:dyDescent="0.2"/>
    <row r="48" spans="1:9" s="1" customFormat="1" ht="9" customHeight="1" x14ac:dyDescent="0.2"/>
    <row r="49" s="1" customFormat="1" ht="9" customHeight="1" x14ac:dyDescent="0.2"/>
    <row r="50" s="1" customFormat="1" ht="9" customHeight="1" x14ac:dyDescent="0.2"/>
    <row r="51" s="1" customFormat="1" ht="9" customHeight="1" x14ac:dyDescent="0.2"/>
    <row r="52" s="1" customFormat="1" ht="9" customHeight="1" x14ac:dyDescent="0.2"/>
    <row r="53" s="1" customFormat="1" ht="9" customHeight="1" x14ac:dyDescent="0.2"/>
    <row r="54" s="1" customFormat="1" ht="9" customHeight="1" x14ac:dyDescent="0.2"/>
    <row r="55" s="1" customFormat="1" ht="9" customHeight="1" x14ac:dyDescent="0.2"/>
    <row r="56" s="1" customFormat="1" ht="9" customHeight="1" x14ac:dyDescent="0.2"/>
    <row r="57" s="1" customFormat="1" ht="9" customHeight="1" x14ac:dyDescent="0.2"/>
    <row r="58" s="1" customFormat="1" ht="9" customHeight="1" x14ac:dyDescent="0.2"/>
    <row r="59" s="1" customFormat="1" ht="9" customHeight="1" x14ac:dyDescent="0.2"/>
    <row r="60" s="1" customFormat="1" ht="9" customHeight="1" x14ac:dyDescent="0.2"/>
    <row r="61" s="1" customFormat="1" ht="9" customHeight="1" x14ac:dyDescent="0.2"/>
    <row r="62" s="1" customFormat="1" ht="9" customHeight="1" x14ac:dyDescent="0.2"/>
    <row r="63" s="1" customFormat="1" ht="9" customHeight="1" x14ac:dyDescent="0.2"/>
    <row r="64" s="1" customFormat="1" ht="9" customHeight="1" x14ac:dyDescent="0.2"/>
    <row r="65" s="1" customFormat="1" ht="9" customHeight="1" x14ac:dyDescent="0.2"/>
    <row r="66" s="1" customFormat="1" ht="9" customHeight="1" x14ac:dyDescent="0.2"/>
    <row r="67" s="1" customFormat="1" ht="9" customHeight="1" x14ac:dyDescent="0.2"/>
    <row r="68" s="1" customFormat="1" ht="9" customHeight="1" x14ac:dyDescent="0.2"/>
    <row r="69" s="1" customFormat="1" ht="9" customHeight="1" x14ac:dyDescent="0.2"/>
    <row r="70" s="1" customFormat="1" ht="9" customHeight="1" x14ac:dyDescent="0.2"/>
    <row r="71" s="1" customFormat="1" ht="9" customHeight="1" x14ac:dyDescent="0.2"/>
    <row r="72" s="1" customFormat="1" ht="9" customHeight="1" x14ac:dyDescent="0.2"/>
    <row r="73" s="1" customFormat="1" ht="9" customHeight="1" x14ac:dyDescent="0.2"/>
    <row r="74" s="1" customFormat="1" ht="9" customHeight="1" x14ac:dyDescent="0.2"/>
    <row r="75" s="1" customFormat="1" ht="9" customHeight="1" x14ac:dyDescent="0.2"/>
    <row r="76" s="1" customFormat="1" ht="9" customHeight="1" x14ac:dyDescent="0.2"/>
    <row r="77" s="1" customFormat="1" ht="9" customHeight="1" x14ac:dyDescent="0.2"/>
    <row r="78" s="1" customFormat="1" ht="9" customHeight="1" x14ac:dyDescent="0.2"/>
  </sheetData>
  <phoneticPr fontId="0" type="noConversion"/>
  <printOptions horizontalCentered="1"/>
  <pageMargins left="0.39370078740157483" right="0.39370078740157483" top="1.5748031496062993" bottom="0.74803149606299213" header="0.6692913385826772" footer="0.51181102362204722"/>
  <pageSetup scale="73" fitToHeight="2" orientation="landscape" horizontalDpi="4294967294" verticalDpi="300" r:id="rId1"/>
  <headerFooter alignWithMargins="0">
    <oddHeader>&amp;CΠΑΝΕΛΛΗΝΙΟ ΠΡΩΤΑΘΛΗΜΑ  ΒΕΑCH VOLLEY JUNIORS 2017
SXINIAS FINAL U22
05-06/08
MAIN DRAW ΝΕΩΝ ΓΥΝΑΙΚΩΝ
ΤΑΜΠΛΟ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view="pageBreakPreview" zoomScaleNormal="100" zoomScaleSheetLayoutView="100" workbookViewId="0">
      <selection activeCell="B6" sqref="B6"/>
    </sheetView>
  </sheetViews>
  <sheetFormatPr defaultColWidth="5.5703125" defaultRowHeight="15" x14ac:dyDescent="0.25"/>
  <cols>
    <col min="1" max="1" width="4.7109375" style="46" customWidth="1"/>
    <col min="2" max="2" width="32.5703125" style="46" bestFit="1" customWidth="1"/>
    <col min="3" max="3" width="9.7109375" style="46" customWidth="1"/>
    <col min="4" max="4" width="10.140625" style="133" customWidth="1"/>
    <col min="5" max="6" width="12" style="57" bestFit="1" customWidth="1"/>
    <col min="7" max="7" width="32.5703125" style="46" bestFit="1" customWidth="1"/>
    <col min="8" max="8" width="1.42578125" style="46" customWidth="1"/>
    <col min="9" max="257" width="5.5703125" style="46"/>
    <col min="258" max="258" width="4.7109375" style="46" customWidth="1"/>
    <col min="259" max="259" width="28.140625" style="46" bestFit="1" customWidth="1"/>
    <col min="260" max="260" width="9.7109375" style="46" customWidth="1"/>
    <col min="261" max="262" width="12" style="46" bestFit="1" customWidth="1"/>
    <col min="263" max="263" width="40.7109375" style="46" customWidth="1"/>
    <col min="264" max="264" width="1.42578125" style="46" customWidth="1"/>
    <col min="265" max="513" width="5.5703125" style="46"/>
    <col min="514" max="514" width="4.7109375" style="46" customWidth="1"/>
    <col min="515" max="515" width="28.140625" style="46" bestFit="1" customWidth="1"/>
    <col min="516" max="516" width="9.7109375" style="46" customWidth="1"/>
    <col min="517" max="518" width="12" style="46" bestFit="1" customWidth="1"/>
    <col min="519" max="519" width="40.7109375" style="46" customWidth="1"/>
    <col min="520" max="520" width="1.42578125" style="46" customWidth="1"/>
    <col min="521" max="769" width="5.5703125" style="46"/>
    <col min="770" max="770" width="4.7109375" style="46" customWidth="1"/>
    <col min="771" max="771" width="28.140625" style="46" bestFit="1" customWidth="1"/>
    <col min="772" max="772" width="9.7109375" style="46" customWidth="1"/>
    <col min="773" max="774" width="12" style="46" bestFit="1" customWidth="1"/>
    <col min="775" max="775" width="40.7109375" style="46" customWidth="1"/>
    <col min="776" max="776" width="1.42578125" style="46" customWidth="1"/>
    <col min="777" max="1025" width="5.5703125" style="46"/>
    <col min="1026" max="1026" width="4.7109375" style="46" customWidth="1"/>
    <col min="1027" max="1027" width="28.140625" style="46" bestFit="1" customWidth="1"/>
    <col min="1028" max="1028" width="9.7109375" style="46" customWidth="1"/>
    <col min="1029" max="1030" width="12" style="46" bestFit="1" customWidth="1"/>
    <col min="1031" max="1031" width="40.7109375" style="46" customWidth="1"/>
    <col min="1032" max="1032" width="1.42578125" style="46" customWidth="1"/>
    <col min="1033" max="1281" width="5.5703125" style="46"/>
    <col min="1282" max="1282" width="4.7109375" style="46" customWidth="1"/>
    <col min="1283" max="1283" width="28.140625" style="46" bestFit="1" customWidth="1"/>
    <col min="1284" max="1284" width="9.7109375" style="46" customWidth="1"/>
    <col min="1285" max="1286" width="12" style="46" bestFit="1" customWidth="1"/>
    <col min="1287" max="1287" width="40.7109375" style="46" customWidth="1"/>
    <col min="1288" max="1288" width="1.42578125" style="46" customWidth="1"/>
    <col min="1289" max="1537" width="5.5703125" style="46"/>
    <col min="1538" max="1538" width="4.7109375" style="46" customWidth="1"/>
    <col min="1539" max="1539" width="28.140625" style="46" bestFit="1" customWidth="1"/>
    <col min="1540" max="1540" width="9.7109375" style="46" customWidth="1"/>
    <col min="1541" max="1542" width="12" style="46" bestFit="1" customWidth="1"/>
    <col min="1543" max="1543" width="40.7109375" style="46" customWidth="1"/>
    <col min="1544" max="1544" width="1.42578125" style="46" customWidth="1"/>
    <col min="1545" max="1793" width="5.5703125" style="46"/>
    <col min="1794" max="1794" width="4.7109375" style="46" customWidth="1"/>
    <col min="1795" max="1795" width="28.140625" style="46" bestFit="1" customWidth="1"/>
    <col min="1796" max="1796" width="9.7109375" style="46" customWidth="1"/>
    <col min="1797" max="1798" width="12" style="46" bestFit="1" customWidth="1"/>
    <col min="1799" max="1799" width="40.7109375" style="46" customWidth="1"/>
    <col min="1800" max="1800" width="1.42578125" style="46" customWidth="1"/>
    <col min="1801" max="2049" width="5.5703125" style="46"/>
    <col min="2050" max="2050" width="4.7109375" style="46" customWidth="1"/>
    <col min="2051" max="2051" width="28.140625" style="46" bestFit="1" customWidth="1"/>
    <col min="2052" max="2052" width="9.7109375" style="46" customWidth="1"/>
    <col min="2053" max="2054" width="12" style="46" bestFit="1" customWidth="1"/>
    <col min="2055" max="2055" width="40.7109375" style="46" customWidth="1"/>
    <col min="2056" max="2056" width="1.42578125" style="46" customWidth="1"/>
    <col min="2057" max="2305" width="5.5703125" style="46"/>
    <col min="2306" max="2306" width="4.7109375" style="46" customWidth="1"/>
    <col min="2307" max="2307" width="28.140625" style="46" bestFit="1" customWidth="1"/>
    <col min="2308" max="2308" width="9.7109375" style="46" customWidth="1"/>
    <col min="2309" max="2310" width="12" style="46" bestFit="1" customWidth="1"/>
    <col min="2311" max="2311" width="40.7109375" style="46" customWidth="1"/>
    <col min="2312" max="2312" width="1.42578125" style="46" customWidth="1"/>
    <col min="2313" max="2561" width="5.5703125" style="46"/>
    <col min="2562" max="2562" width="4.7109375" style="46" customWidth="1"/>
    <col min="2563" max="2563" width="28.140625" style="46" bestFit="1" customWidth="1"/>
    <col min="2564" max="2564" width="9.7109375" style="46" customWidth="1"/>
    <col min="2565" max="2566" width="12" style="46" bestFit="1" customWidth="1"/>
    <col min="2567" max="2567" width="40.7109375" style="46" customWidth="1"/>
    <col min="2568" max="2568" width="1.42578125" style="46" customWidth="1"/>
    <col min="2569" max="2817" width="5.5703125" style="46"/>
    <col min="2818" max="2818" width="4.7109375" style="46" customWidth="1"/>
    <col min="2819" max="2819" width="28.140625" style="46" bestFit="1" customWidth="1"/>
    <col min="2820" max="2820" width="9.7109375" style="46" customWidth="1"/>
    <col min="2821" max="2822" width="12" style="46" bestFit="1" customWidth="1"/>
    <col min="2823" max="2823" width="40.7109375" style="46" customWidth="1"/>
    <col min="2824" max="2824" width="1.42578125" style="46" customWidth="1"/>
    <col min="2825" max="3073" width="5.5703125" style="46"/>
    <col min="3074" max="3074" width="4.7109375" style="46" customWidth="1"/>
    <col min="3075" max="3075" width="28.140625" style="46" bestFit="1" customWidth="1"/>
    <col min="3076" max="3076" width="9.7109375" style="46" customWidth="1"/>
    <col min="3077" max="3078" width="12" style="46" bestFit="1" customWidth="1"/>
    <col min="3079" max="3079" width="40.7109375" style="46" customWidth="1"/>
    <col min="3080" max="3080" width="1.42578125" style="46" customWidth="1"/>
    <col min="3081" max="3329" width="5.5703125" style="46"/>
    <col min="3330" max="3330" width="4.7109375" style="46" customWidth="1"/>
    <col min="3331" max="3331" width="28.140625" style="46" bestFit="1" customWidth="1"/>
    <col min="3332" max="3332" width="9.7109375" style="46" customWidth="1"/>
    <col min="3333" max="3334" width="12" style="46" bestFit="1" customWidth="1"/>
    <col min="3335" max="3335" width="40.7109375" style="46" customWidth="1"/>
    <col min="3336" max="3336" width="1.42578125" style="46" customWidth="1"/>
    <col min="3337" max="3585" width="5.5703125" style="46"/>
    <col min="3586" max="3586" width="4.7109375" style="46" customWidth="1"/>
    <col min="3587" max="3587" width="28.140625" style="46" bestFit="1" customWidth="1"/>
    <col min="3588" max="3588" width="9.7109375" style="46" customWidth="1"/>
    <col min="3589" max="3590" width="12" style="46" bestFit="1" customWidth="1"/>
    <col min="3591" max="3591" width="40.7109375" style="46" customWidth="1"/>
    <col min="3592" max="3592" width="1.42578125" style="46" customWidth="1"/>
    <col min="3593" max="3841" width="5.5703125" style="46"/>
    <col min="3842" max="3842" width="4.7109375" style="46" customWidth="1"/>
    <col min="3843" max="3843" width="28.140625" style="46" bestFit="1" customWidth="1"/>
    <col min="3844" max="3844" width="9.7109375" style="46" customWidth="1"/>
    <col min="3845" max="3846" width="12" style="46" bestFit="1" customWidth="1"/>
    <col min="3847" max="3847" width="40.7109375" style="46" customWidth="1"/>
    <col min="3848" max="3848" width="1.42578125" style="46" customWidth="1"/>
    <col min="3849" max="4097" width="5.5703125" style="46"/>
    <col min="4098" max="4098" width="4.7109375" style="46" customWidth="1"/>
    <col min="4099" max="4099" width="28.140625" style="46" bestFit="1" customWidth="1"/>
    <col min="4100" max="4100" width="9.7109375" style="46" customWidth="1"/>
    <col min="4101" max="4102" width="12" style="46" bestFit="1" customWidth="1"/>
    <col min="4103" max="4103" width="40.7109375" style="46" customWidth="1"/>
    <col min="4104" max="4104" width="1.42578125" style="46" customWidth="1"/>
    <col min="4105" max="4353" width="5.5703125" style="46"/>
    <col min="4354" max="4354" width="4.7109375" style="46" customWidth="1"/>
    <col min="4355" max="4355" width="28.140625" style="46" bestFit="1" customWidth="1"/>
    <col min="4356" max="4356" width="9.7109375" style="46" customWidth="1"/>
    <col min="4357" max="4358" width="12" style="46" bestFit="1" customWidth="1"/>
    <col min="4359" max="4359" width="40.7109375" style="46" customWidth="1"/>
    <col min="4360" max="4360" width="1.42578125" style="46" customWidth="1"/>
    <col min="4361" max="4609" width="5.5703125" style="46"/>
    <col min="4610" max="4610" width="4.7109375" style="46" customWidth="1"/>
    <col min="4611" max="4611" width="28.140625" style="46" bestFit="1" customWidth="1"/>
    <col min="4612" max="4612" width="9.7109375" style="46" customWidth="1"/>
    <col min="4613" max="4614" width="12" style="46" bestFit="1" customWidth="1"/>
    <col min="4615" max="4615" width="40.7109375" style="46" customWidth="1"/>
    <col min="4616" max="4616" width="1.42578125" style="46" customWidth="1"/>
    <col min="4617" max="4865" width="5.5703125" style="46"/>
    <col min="4866" max="4866" width="4.7109375" style="46" customWidth="1"/>
    <col min="4867" max="4867" width="28.140625" style="46" bestFit="1" customWidth="1"/>
    <col min="4868" max="4868" width="9.7109375" style="46" customWidth="1"/>
    <col min="4869" max="4870" width="12" style="46" bestFit="1" customWidth="1"/>
    <col min="4871" max="4871" width="40.7109375" style="46" customWidth="1"/>
    <col min="4872" max="4872" width="1.42578125" style="46" customWidth="1"/>
    <col min="4873" max="5121" width="5.5703125" style="46"/>
    <col min="5122" max="5122" width="4.7109375" style="46" customWidth="1"/>
    <col min="5123" max="5123" width="28.140625" style="46" bestFit="1" customWidth="1"/>
    <col min="5124" max="5124" width="9.7109375" style="46" customWidth="1"/>
    <col min="5125" max="5126" width="12" style="46" bestFit="1" customWidth="1"/>
    <col min="5127" max="5127" width="40.7109375" style="46" customWidth="1"/>
    <col min="5128" max="5128" width="1.42578125" style="46" customWidth="1"/>
    <col min="5129" max="5377" width="5.5703125" style="46"/>
    <col min="5378" max="5378" width="4.7109375" style="46" customWidth="1"/>
    <col min="5379" max="5379" width="28.140625" style="46" bestFit="1" customWidth="1"/>
    <col min="5380" max="5380" width="9.7109375" style="46" customWidth="1"/>
    <col min="5381" max="5382" width="12" style="46" bestFit="1" customWidth="1"/>
    <col min="5383" max="5383" width="40.7109375" style="46" customWidth="1"/>
    <col min="5384" max="5384" width="1.42578125" style="46" customWidth="1"/>
    <col min="5385" max="5633" width="5.5703125" style="46"/>
    <col min="5634" max="5634" width="4.7109375" style="46" customWidth="1"/>
    <col min="5635" max="5635" width="28.140625" style="46" bestFit="1" customWidth="1"/>
    <col min="5636" max="5636" width="9.7109375" style="46" customWidth="1"/>
    <col min="5637" max="5638" width="12" style="46" bestFit="1" customWidth="1"/>
    <col min="5639" max="5639" width="40.7109375" style="46" customWidth="1"/>
    <col min="5640" max="5640" width="1.42578125" style="46" customWidth="1"/>
    <col min="5641" max="5889" width="5.5703125" style="46"/>
    <col min="5890" max="5890" width="4.7109375" style="46" customWidth="1"/>
    <col min="5891" max="5891" width="28.140625" style="46" bestFit="1" customWidth="1"/>
    <col min="5892" max="5892" width="9.7109375" style="46" customWidth="1"/>
    <col min="5893" max="5894" width="12" style="46" bestFit="1" customWidth="1"/>
    <col min="5895" max="5895" width="40.7109375" style="46" customWidth="1"/>
    <col min="5896" max="5896" width="1.42578125" style="46" customWidth="1"/>
    <col min="5897" max="6145" width="5.5703125" style="46"/>
    <col min="6146" max="6146" width="4.7109375" style="46" customWidth="1"/>
    <col min="6147" max="6147" width="28.140625" style="46" bestFit="1" customWidth="1"/>
    <col min="6148" max="6148" width="9.7109375" style="46" customWidth="1"/>
    <col min="6149" max="6150" width="12" style="46" bestFit="1" customWidth="1"/>
    <col min="6151" max="6151" width="40.7109375" style="46" customWidth="1"/>
    <col min="6152" max="6152" width="1.42578125" style="46" customWidth="1"/>
    <col min="6153" max="6401" width="5.5703125" style="46"/>
    <col min="6402" max="6402" width="4.7109375" style="46" customWidth="1"/>
    <col min="6403" max="6403" width="28.140625" style="46" bestFit="1" customWidth="1"/>
    <col min="6404" max="6404" width="9.7109375" style="46" customWidth="1"/>
    <col min="6405" max="6406" width="12" style="46" bestFit="1" customWidth="1"/>
    <col min="6407" max="6407" width="40.7109375" style="46" customWidth="1"/>
    <col min="6408" max="6408" width="1.42578125" style="46" customWidth="1"/>
    <col min="6409" max="6657" width="5.5703125" style="46"/>
    <col min="6658" max="6658" width="4.7109375" style="46" customWidth="1"/>
    <col min="6659" max="6659" width="28.140625" style="46" bestFit="1" customWidth="1"/>
    <col min="6660" max="6660" width="9.7109375" style="46" customWidth="1"/>
    <col min="6661" max="6662" width="12" style="46" bestFit="1" customWidth="1"/>
    <col min="6663" max="6663" width="40.7109375" style="46" customWidth="1"/>
    <col min="6664" max="6664" width="1.42578125" style="46" customWidth="1"/>
    <col min="6665" max="6913" width="5.5703125" style="46"/>
    <col min="6914" max="6914" width="4.7109375" style="46" customWidth="1"/>
    <col min="6915" max="6915" width="28.140625" style="46" bestFit="1" customWidth="1"/>
    <col min="6916" max="6916" width="9.7109375" style="46" customWidth="1"/>
    <col min="6917" max="6918" width="12" style="46" bestFit="1" customWidth="1"/>
    <col min="6919" max="6919" width="40.7109375" style="46" customWidth="1"/>
    <col min="6920" max="6920" width="1.42578125" style="46" customWidth="1"/>
    <col min="6921" max="7169" width="5.5703125" style="46"/>
    <col min="7170" max="7170" width="4.7109375" style="46" customWidth="1"/>
    <col min="7171" max="7171" width="28.140625" style="46" bestFit="1" customWidth="1"/>
    <col min="7172" max="7172" width="9.7109375" style="46" customWidth="1"/>
    <col min="7173" max="7174" width="12" style="46" bestFit="1" customWidth="1"/>
    <col min="7175" max="7175" width="40.7109375" style="46" customWidth="1"/>
    <col min="7176" max="7176" width="1.42578125" style="46" customWidth="1"/>
    <col min="7177" max="7425" width="5.5703125" style="46"/>
    <col min="7426" max="7426" width="4.7109375" style="46" customWidth="1"/>
    <col min="7427" max="7427" width="28.140625" style="46" bestFit="1" customWidth="1"/>
    <col min="7428" max="7428" width="9.7109375" style="46" customWidth="1"/>
    <col min="7429" max="7430" width="12" style="46" bestFit="1" customWidth="1"/>
    <col min="7431" max="7431" width="40.7109375" style="46" customWidth="1"/>
    <col min="7432" max="7432" width="1.42578125" style="46" customWidth="1"/>
    <col min="7433" max="7681" width="5.5703125" style="46"/>
    <col min="7682" max="7682" width="4.7109375" style="46" customWidth="1"/>
    <col min="7683" max="7683" width="28.140625" style="46" bestFit="1" customWidth="1"/>
    <col min="7684" max="7684" width="9.7109375" style="46" customWidth="1"/>
    <col min="7685" max="7686" width="12" style="46" bestFit="1" customWidth="1"/>
    <col min="7687" max="7687" width="40.7109375" style="46" customWidth="1"/>
    <col min="7688" max="7688" width="1.42578125" style="46" customWidth="1"/>
    <col min="7689" max="7937" width="5.5703125" style="46"/>
    <col min="7938" max="7938" width="4.7109375" style="46" customWidth="1"/>
    <col min="7939" max="7939" width="28.140625" style="46" bestFit="1" customWidth="1"/>
    <col min="7940" max="7940" width="9.7109375" style="46" customWidth="1"/>
    <col min="7941" max="7942" width="12" style="46" bestFit="1" customWidth="1"/>
    <col min="7943" max="7943" width="40.7109375" style="46" customWidth="1"/>
    <col min="7944" max="7944" width="1.42578125" style="46" customWidth="1"/>
    <col min="7945" max="8193" width="5.5703125" style="46"/>
    <col min="8194" max="8194" width="4.7109375" style="46" customWidth="1"/>
    <col min="8195" max="8195" width="28.140625" style="46" bestFit="1" customWidth="1"/>
    <col min="8196" max="8196" width="9.7109375" style="46" customWidth="1"/>
    <col min="8197" max="8198" width="12" style="46" bestFit="1" customWidth="1"/>
    <col min="8199" max="8199" width="40.7109375" style="46" customWidth="1"/>
    <col min="8200" max="8200" width="1.42578125" style="46" customWidth="1"/>
    <col min="8201" max="8449" width="5.5703125" style="46"/>
    <col min="8450" max="8450" width="4.7109375" style="46" customWidth="1"/>
    <col min="8451" max="8451" width="28.140625" style="46" bestFit="1" customWidth="1"/>
    <col min="8452" max="8452" width="9.7109375" style="46" customWidth="1"/>
    <col min="8453" max="8454" width="12" style="46" bestFit="1" customWidth="1"/>
    <col min="8455" max="8455" width="40.7109375" style="46" customWidth="1"/>
    <col min="8456" max="8456" width="1.42578125" style="46" customWidth="1"/>
    <col min="8457" max="8705" width="5.5703125" style="46"/>
    <col min="8706" max="8706" width="4.7109375" style="46" customWidth="1"/>
    <col min="8707" max="8707" width="28.140625" style="46" bestFit="1" customWidth="1"/>
    <col min="8708" max="8708" width="9.7109375" style="46" customWidth="1"/>
    <col min="8709" max="8710" width="12" style="46" bestFit="1" customWidth="1"/>
    <col min="8711" max="8711" width="40.7109375" style="46" customWidth="1"/>
    <col min="8712" max="8712" width="1.42578125" style="46" customWidth="1"/>
    <col min="8713" max="8961" width="5.5703125" style="46"/>
    <col min="8962" max="8962" width="4.7109375" style="46" customWidth="1"/>
    <col min="8963" max="8963" width="28.140625" style="46" bestFit="1" customWidth="1"/>
    <col min="8964" max="8964" width="9.7109375" style="46" customWidth="1"/>
    <col min="8965" max="8966" width="12" style="46" bestFit="1" customWidth="1"/>
    <col min="8967" max="8967" width="40.7109375" style="46" customWidth="1"/>
    <col min="8968" max="8968" width="1.42578125" style="46" customWidth="1"/>
    <col min="8969" max="9217" width="5.5703125" style="46"/>
    <col min="9218" max="9218" width="4.7109375" style="46" customWidth="1"/>
    <col min="9219" max="9219" width="28.140625" style="46" bestFit="1" customWidth="1"/>
    <col min="9220" max="9220" width="9.7109375" style="46" customWidth="1"/>
    <col min="9221" max="9222" width="12" style="46" bestFit="1" customWidth="1"/>
    <col min="9223" max="9223" width="40.7109375" style="46" customWidth="1"/>
    <col min="9224" max="9224" width="1.42578125" style="46" customWidth="1"/>
    <col min="9225" max="9473" width="5.5703125" style="46"/>
    <col min="9474" max="9474" width="4.7109375" style="46" customWidth="1"/>
    <col min="9475" max="9475" width="28.140625" style="46" bestFit="1" customWidth="1"/>
    <col min="9476" max="9476" width="9.7109375" style="46" customWidth="1"/>
    <col min="9477" max="9478" width="12" style="46" bestFit="1" customWidth="1"/>
    <col min="9479" max="9479" width="40.7109375" style="46" customWidth="1"/>
    <col min="9480" max="9480" width="1.42578125" style="46" customWidth="1"/>
    <col min="9481" max="9729" width="5.5703125" style="46"/>
    <col min="9730" max="9730" width="4.7109375" style="46" customWidth="1"/>
    <col min="9731" max="9731" width="28.140625" style="46" bestFit="1" customWidth="1"/>
    <col min="9732" max="9732" width="9.7109375" style="46" customWidth="1"/>
    <col min="9733" max="9734" width="12" style="46" bestFit="1" customWidth="1"/>
    <col min="9735" max="9735" width="40.7109375" style="46" customWidth="1"/>
    <col min="9736" max="9736" width="1.42578125" style="46" customWidth="1"/>
    <col min="9737" max="9985" width="5.5703125" style="46"/>
    <col min="9986" max="9986" width="4.7109375" style="46" customWidth="1"/>
    <col min="9987" max="9987" width="28.140625" style="46" bestFit="1" customWidth="1"/>
    <col min="9988" max="9988" width="9.7109375" style="46" customWidth="1"/>
    <col min="9989" max="9990" width="12" style="46" bestFit="1" customWidth="1"/>
    <col min="9991" max="9991" width="40.7109375" style="46" customWidth="1"/>
    <col min="9992" max="9992" width="1.42578125" style="46" customWidth="1"/>
    <col min="9993" max="10241" width="5.5703125" style="46"/>
    <col min="10242" max="10242" width="4.7109375" style="46" customWidth="1"/>
    <col min="10243" max="10243" width="28.140625" style="46" bestFit="1" customWidth="1"/>
    <col min="10244" max="10244" width="9.7109375" style="46" customWidth="1"/>
    <col min="10245" max="10246" width="12" style="46" bestFit="1" customWidth="1"/>
    <col min="10247" max="10247" width="40.7109375" style="46" customWidth="1"/>
    <col min="10248" max="10248" width="1.42578125" style="46" customWidth="1"/>
    <col min="10249" max="10497" width="5.5703125" style="46"/>
    <col min="10498" max="10498" width="4.7109375" style="46" customWidth="1"/>
    <col min="10499" max="10499" width="28.140625" style="46" bestFit="1" customWidth="1"/>
    <col min="10500" max="10500" width="9.7109375" style="46" customWidth="1"/>
    <col min="10501" max="10502" width="12" style="46" bestFit="1" customWidth="1"/>
    <col min="10503" max="10503" width="40.7109375" style="46" customWidth="1"/>
    <col min="10504" max="10504" width="1.42578125" style="46" customWidth="1"/>
    <col min="10505" max="10753" width="5.5703125" style="46"/>
    <col min="10754" max="10754" width="4.7109375" style="46" customWidth="1"/>
    <col min="10755" max="10755" width="28.140625" style="46" bestFit="1" customWidth="1"/>
    <col min="10756" max="10756" width="9.7109375" style="46" customWidth="1"/>
    <col min="10757" max="10758" width="12" style="46" bestFit="1" customWidth="1"/>
    <col min="10759" max="10759" width="40.7109375" style="46" customWidth="1"/>
    <col min="10760" max="10760" width="1.42578125" style="46" customWidth="1"/>
    <col min="10761" max="11009" width="5.5703125" style="46"/>
    <col min="11010" max="11010" width="4.7109375" style="46" customWidth="1"/>
    <col min="11011" max="11011" width="28.140625" style="46" bestFit="1" customWidth="1"/>
    <col min="11012" max="11012" width="9.7109375" style="46" customWidth="1"/>
    <col min="11013" max="11014" width="12" style="46" bestFit="1" customWidth="1"/>
    <col min="11015" max="11015" width="40.7109375" style="46" customWidth="1"/>
    <col min="11016" max="11016" width="1.42578125" style="46" customWidth="1"/>
    <col min="11017" max="11265" width="5.5703125" style="46"/>
    <col min="11266" max="11266" width="4.7109375" style="46" customWidth="1"/>
    <col min="11267" max="11267" width="28.140625" style="46" bestFit="1" customWidth="1"/>
    <col min="11268" max="11268" width="9.7109375" style="46" customWidth="1"/>
    <col min="11269" max="11270" width="12" style="46" bestFit="1" customWidth="1"/>
    <col min="11271" max="11271" width="40.7109375" style="46" customWidth="1"/>
    <col min="11272" max="11272" width="1.42578125" style="46" customWidth="1"/>
    <col min="11273" max="11521" width="5.5703125" style="46"/>
    <col min="11522" max="11522" width="4.7109375" style="46" customWidth="1"/>
    <col min="11523" max="11523" width="28.140625" style="46" bestFit="1" customWidth="1"/>
    <col min="11524" max="11524" width="9.7109375" style="46" customWidth="1"/>
    <col min="11525" max="11526" width="12" style="46" bestFit="1" customWidth="1"/>
    <col min="11527" max="11527" width="40.7109375" style="46" customWidth="1"/>
    <col min="11528" max="11528" width="1.42578125" style="46" customWidth="1"/>
    <col min="11529" max="11777" width="5.5703125" style="46"/>
    <col min="11778" max="11778" width="4.7109375" style="46" customWidth="1"/>
    <col min="11779" max="11779" width="28.140625" style="46" bestFit="1" customWidth="1"/>
    <col min="11780" max="11780" width="9.7109375" style="46" customWidth="1"/>
    <col min="11781" max="11782" width="12" style="46" bestFit="1" customWidth="1"/>
    <col min="11783" max="11783" width="40.7109375" style="46" customWidth="1"/>
    <col min="11784" max="11784" width="1.42578125" style="46" customWidth="1"/>
    <col min="11785" max="12033" width="5.5703125" style="46"/>
    <col min="12034" max="12034" width="4.7109375" style="46" customWidth="1"/>
    <col min="12035" max="12035" width="28.140625" style="46" bestFit="1" customWidth="1"/>
    <col min="12036" max="12036" width="9.7109375" style="46" customWidth="1"/>
    <col min="12037" max="12038" width="12" style="46" bestFit="1" customWidth="1"/>
    <col min="12039" max="12039" width="40.7109375" style="46" customWidth="1"/>
    <col min="12040" max="12040" width="1.42578125" style="46" customWidth="1"/>
    <col min="12041" max="12289" width="5.5703125" style="46"/>
    <col min="12290" max="12290" width="4.7109375" style="46" customWidth="1"/>
    <col min="12291" max="12291" width="28.140625" style="46" bestFit="1" customWidth="1"/>
    <col min="12292" max="12292" width="9.7109375" style="46" customWidth="1"/>
    <col min="12293" max="12294" width="12" style="46" bestFit="1" customWidth="1"/>
    <col min="12295" max="12295" width="40.7109375" style="46" customWidth="1"/>
    <col min="12296" max="12296" width="1.42578125" style="46" customWidth="1"/>
    <col min="12297" max="12545" width="5.5703125" style="46"/>
    <col min="12546" max="12546" width="4.7109375" style="46" customWidth="1"/>
    <col min="12547" max="12547" width="28.140625" style="46" bestFit="1" customWidth="1"/>
    <col min="12548" max="12548" width="9.7109375" style="46" customWidth="1"/>
    <col min="12549" max="12550" width="12" style="46" bestFit="1" customWidth="1"/>
    <col min="12551" max="12551" width="40.7109375" style="46" customWidth="1"/>
    <col min="12552" max="12552" width="1.42578125" style="46" customWidth="1"/>
    <col min="12553" max="12801" width="5.5703125" style="46"/>
    <col min="12802" max="12802" width="4.7109375" style="46" customWidth="1"/>
    <col min="12803" max="12803" width="28.140625" style="46" bestFit="1" customWidth="1"/>
    <col min="12804" max="12804" width="9.7109375" style="46" customWidth="1"/>
    <col min="12805" max="12806" width="12" style="46" bestFit="1" customWidth="1"/>
    <col min="12807" max="12807" width="40.7109375" style="46" customWidth="1"/>
    <col min="12808" max="12808" width="1.42578125" style="46" customWidth="1"/>
    <col min="12809" max="13057" width="5.5703125" style="46"/>
    <col min="13058" max="13058" width="4.7109375" style="46" customWidth="1"/>
    <col min="13059" max="13059" width="28.140625" style="46" bestFit="1" customWidth="1"/>
    <col min="13060" max="13060" width="9.7109375" style="46" customWidth="1"/>
    <col min="13061" max="13062" width="12" style="46" bestFit="1" customWidth="1"/>
    <col min="13063" max="13063" width="40.7109375" style="46" customWidth="1"/>
    <col min="13064" max="13064" width="1.42578125" style="46" customWidth="1"/>
    <col min="13065" max="13313" width="5.5703125" style="46"/>
    <col min="13314" max="13314" width="4.7109375" style="46" customWidth="1"/>
    <col min="13315" max="13315" width="28.140625" style="46" bestFit="1" customWidth="1"/>
    <col min="13316" max="13316" width="9.7109375" style="46" customWidth="1"/>
    <col min="13317" max="13318" width="12" style="46" bestFit="1" customWidth="1"/>
    <col min="13319" max="13319" width="40.7109375" style="46" customWidth="1"/>
    <col min="13320" max="13320" width="1.42578125" style="46" customWidth="1"/>
    <col min="13321" max="13569" width="5.5703125" style="46"/>
    <col min="13570" max="13570" width="4.7109375" style="46" customWidth="1"/>
    <col min="13571" max="13571" width="28.140625" style="46" bestFit="1" customWidth="1"/>
    <col min="13572" max="13572" width="9.7109375" style="46" customWidth="1"/>
    <col min="13573" max="13574" width="12" style="46" bestFit="1" customWidth="1"/>
    <col min="13575" max="13575" width="40.7109375" style="46" customWidth="1"/>
    <col min="13576" max="13576" width="1.42578125" style="46" customWidth="1"/>
    <col min="13577" max="13825" width="5.5703125" style="46"/>
    <col min="13826" max="13826" width="4.7109375" style="46" customWidth="1"/>
    <col min="13827" max="13827" width="28.140625" style="46" bestFit="1" customWidth="1"/>
    <col min="13828" max="13828" width="9.7109375" style="46" customWidth="1"/>
    <col min="13829" max="13830" width="12" style="46" bestFit="1" customWidth="1"/>
    <col min="13831" max="13831" width="40.7109375" style="46" customWidth="1"/>
    <col min="13832" max="13832" width="1.42578125" style="46" customWidth="1"/>
    <col min="13833" max="14081" width="5.5703125" style="46"/>
    <col min="14082" max="14082" width="4.7109375" style="46" customWidth="1"/>
    <col min="14083" max="14083" width="28.140625" style="46" bestFit="1" customWidth="1"/>
    <col min="14084" max="14084" width="9.7109375" style="46" customWidth="1"/>
    <col min="14085" max="14086" width="12" style="46" bestFit="1" customWidth="1"/>
    <col min="14087" max="14087" width="40.7109375" style="46" customWidth="1"/>
    <col min="14088" max="14088" width="1.42578125" style="46" customWidth="1"/>
    <col min="14089" max="14337" width="5.5703125" style="46"/>
    <col min="14338" max="14338" width="4.7109375" style="46" customWidth="1"/>
    <col min="14339" max="14339" width="28.140625" style="46" bestFit="1" customWidth="1"/>
    <col min="14340" max="14340" width="9.7109375" style="46" customWidth="1"/>
    <col min="14341" max="14342" width="12" style="46" bestFit="1" customWidth="1"/>
    <col min="14343" max="14343" width="40.7109375" style="46" customWidth="1"/>
    <col min="14344" max="14344" width="1.42578125" style="46" customWidth="1"/>
    <col min="14345" max="14593" width="5.5703125" style="46"/>
    <col min="14594" max="14594" width="4.7109375" style="46" customWidth="1"/>
    <col min="14595" max="14595" width="28.140625" style="46" bestFit="1" customWidth="1"/>
    <col min="14596" max="14596" width="9.7109375" style="46" customWidth="1"/>
    <col min="14597" max="14598" width="12" style="46" bestFit="1" customWidth="1"/>
    <col min="14599" max="14599" width="40.7109375" style="46" customWidth="1"/>
    <col min="14600" max="14600" width="1.42578125" style="46" customWidth="1"/>
    <col min="14601" max="14849" width="5.5703125" style="46"/>
    <col min="14850" max="14850" width="4.7109375" style="46" customWidth="1"/>
    <col min="14851" max="14851" width="28.140625" style="46" bestFit="1" customWidth="1"/>
    <col min="14852" max="14852" width="9.7109375" style="46" customWidth="1"/>
    <col min="14853" max="14854" width="12" style="46" bestFit="1" customWidth="1"/>
    <col min="14855" max="14855" width="40.7109375" style="46" customWidth="1"/>
    <col min="14856" max="14856" width="1.42578125" style="46" customWidth="1"/>
    <col min="14857" max="15105" width="5.5703125" style="46"/>
    <col min="15106" max="15106" width="4.7109375" style="46" customWidth="1"/>
    <col min="15107" max="15107" width="28.140625" style="46" bestFit="1" customWidth="1"/>
    <col min="15108" max="15108" width="9.7109375" style="46" customWidth="1"/>
    <col min="15109" max="15110" width="12" style="46" bestFit="1" customWidth="1"/>
    <col min="15111" max="15111" width="40.7109375" style="46" customWidth="1"/>
    <col min="15112" max="15112" width="1.42578125" style="46" customWidth="1"/>
    <col min="15113" max="15361" width="5.5703125" style="46"/>
    <col min="15362" max="15362" width="4.7109375" style="46" customWidth="1"/>
    <col min="15363" max="15363" width="28.140625" style="46" bestFit="1" customWidth="1"/>
    <col min="15364" max="15364" width="9.7109375" style="46" customWidth="1"/>
    <col min="15365" max="15366" width="12" style="46" bestFit="1" customWidth="1"/>
    <col min="15367" max="15367" width="40.7109375" style="46" customWidth="1"/>
    <col min="15368" max="15368" width="1.42578125" style="46" customWidth="1"/>
    <col min="15369" max="15617" width="5.5703125" style="46"/>
    <col min="15618" max="15618" width="4.7109375" style="46" customWidth="1"/>
    <col min="15619" max="15619" width="28.140625" style="46" bestFit="1" customWidth="1"/>
    <col min="15620" max="15620" width="9.7109375" style="46" customWidth="1"/>
    <col min="15621" max="15622" width="12" style="46" bestFit="1" customWidth="1"/>
    <col min="15623" max="15623" width="40.7109375" style="46" customWidth="1"/>
    <col min="15624" max="15624" width="1.42578125" style="46" customWidth="1"/>
    <col min="15625" max="15873" width="5.5703125" style="46"/>
    <col min="15874" max="15874" width="4.7109375" style="46" customWidth="1"/>
    <col min="15875" max="15875" width="28.140625" style="46" bestFit="1" customWidth="1"/>
    <col min="15876" max="15876" width="9.7109375" style="46" customWidth="1"/>
    <col min="15877" max="15878" width="12" style="46" bestFit="1" customWidth="1"/>
    <col min="15879" max="15879" width="40.7109375" style="46" customWidth="1"/>
    <col min="15880" max="15880" width="1.42578125" style="46" customWidth="1"/>
    <col min="15881" max="16129" width="5.5703125" style="46"/>
    <col min="16130" max="16130" width="4.7109375" style="46" customWidth="1"/>
    <col min="16131" max="16131" width="28.140625" style="46" bestFit="1" customWidth="1"/>
    <col min="16132" max="16132" width="9.7109375" style="46" customWidth="1"/>
    <col min="16133" max="16134" width="12" style="46" bestFit="1" customWidth="1"/>
    <col min="16135" max="16135" width="40.7109375" style="46" customWidth="1"/>
    <col min="16136" max="16136" width="1.42578125" style="46" customWidth="1"/>
    <col min="16137" max="16384" width="5.5703125" style="46"/>
  </cols>
  <sheetData>
    <row r="1" spans="1:6" ht="80.099999999999994" customHeight="1" x14ac:dyDescent="0.2">
      <c r="A1" s="132" t="s">
        <v>31</v>
      </c>
      <c r="B1" s="132"/>
      <c r="C1" s="132"/>
      <c r="D1" s="132"/>
      <c r="E1" s="134"/>
    </row>
    <row r="2" spans="1:6" ht="48.75" x14ac:dyDescent="0.2">
      <c r="A2" s="51" t="s">
        <v>2</v>
      </c>
      <c r="B2" s="50" t="s">
        <v>4</v>
      </c>
      <c r="C2" s="52" t="s">
        <v>5</v>
      </c>
      <c r="D2" s="64" t="s">
        <v>32</v>
      </c>
      <c r="E2" s="135" t="s">
        <v>7</v>
      </c>
      <c r="F2" s="53" t="s">
        <v>8</v>
      </c>
    </row>
    <row r="3" spans="1:6" ht="20.25" customHeight="1" x14ac:dyDescent="0.2">
      <c r="A3" s="46">
        <v>1</v>
      </c>
      <c r="B3" s="48"/>
      <c r="C3" s="58"/>
      <c r="D3" s="65">
        <f t="shared" ref="D3:D14" si="0">SUM(C3/2)</f>
        <v>0</v>
      </c>
      <c r="E3" s="136"/>
    </row>
    <row r="4" spans="1:6" ht="20.25" customHeight="1" x14ac:dyDescent="0.2">
      <c r="A4" s="46">
        <v>2</v>
      </c>
      <c r="B4" s="48"/>
      <c r="C4" s="58"/>
      <c r="D4" s="65">
        <f t="shared" si="0"/>
        <v>0</v>
      </c>
      <c r="E4" s="136"/>
    </row>
    <row r="5" spans="1:6" ht="20.25" customHeight="1" x14ac:dyDescent="0.2">
      <c r="A5" s="46">
        <v>3</v>
      </c>
      <c r="B5" s="48"/>
      <c r="C5" s="58"/>
      <c r="D5" s="65">
        <f t="shared" si="0"/>
        <v>0</v>
      </c>
      <c r="E5" s="136"/>
    </row>
    <row r="6" spans="1:6" ht="20.25" customHeight="1" x14ac:dyDescent="0.2">
      <c r="A6" s="46">
        <v>4</v>
      </c>
      <c r="B6" s="48"/>
      <c r="C6" s="58"/>
      <c r="D6" s="65">
        <f t="shared" si="0"/>
        <v>0</v>
      </c>
      <c r="E6" s="136"/>
    </row>
    <row r="7" spans="1:6" ht="20.25" customHeight="1" x14ac:dyDescent="0.2">
      <c r="A7" s="46">
        <v>5</v>
      </c>
      <c r="B7" s="48"/>
      <c r="C7" s="58"/>
      <c r="D7" s="65">
        <f t="shared" si="0"/>
        <v>0</v>
      </c>
      <c r="E7" s="136"/>
    </row>
    <row r="8" spans="1:6" ht="20.25" customHeight="1" x14ac:dyDescent="0.2">
      <c r="A8" s="46">
        <v>5</v>
      </c>
      <c r="B8" s="48"/>
      <c r="C8" s="58"/>
      <c r="D8" s="65">
        <f t="shared" si="0"/>
        <v>0</v>
      </c>
      <c r="E8" s="136"/>
    </row>
    <row r="9" spans="1:6" ht="20.25" customHeight="1" x14ac:dyDescent="0.2">
      <c r="A9" s="46">
        <v>7</v>
      </c>
      <c r="B9" s="49"/>
      <c r="C9" s="58"/>
      <c r="D9" s="65">
        <f t="shared" si="0"/>
        <v>0</v>
      </c>
      <c r="E9" s="136"/>
    </row>
    <row r="10" spans="1:6" ht="20.25" customHeight="1" x14ac:dyDescent="0.2">
      <c r="A10" s="46">
        <v>7</v>
      </c>
      <c r="B10" s="48"/>
      <c r="C10" s="58"/>
      <c r="D10" s="65">
        <f t="shared" si="0"/>
        <v>0</v>
      </c>
      <c r="E10" s="136"/>
    </row>
    <row r="11" spans="1:6" ht="20.25" customHeight="1" x14ac:dyDescent="0.2">
      <c r="A11" s="46">
        <v>9</v>
      </c>
      <c r="B11" s="48"/>
      <c r="C11" s="58"/>
      <c r="D11" s="65">
        <f t="shared" si="0"/>
        <v>0</v>
      </c>
      <c r="E11" s="136"/>
    </row>
    <row r="12" spans="1:6" ht="20.25" customHeight="1" x14ac:dyDescent="0.2">
      <c r="A12" s="46">
        <v>9</v>
      </c>
      <c r="B12" s="48"/>
      <c r="C12" s="58"/>
      <c r="D12" s="65">
        <f t="shared" si="0"/>
        <v>0</v>
      </c>
      <c r="E12" s="136"/>
    </row>
    <row r="13" spans="1:6" ht="20.45" customHeight="1" x14ac:dyDescent="0.2">
      <c r="A13" s="46">
        <v>9</v>
      </c>
      <c r="B13" s="48"/>
      <c r="C13" s="55"/>
      <c r="D13" s="65">
        <f t="shared" si="0"/>
        <v>0</v>
      </c>
      <c r="E13" s="136"/>
    </row>
    <row r="14" spans="1:6" ht="20.45" customHeight="1" x14ac:dyDescent="0.2">
      <c r="A14" s="46">
        <v>9</v>
      </c>
      <c r="B14" s="54"/>
      <c r="C14" s="55"/>
      <c r="D14" s="65">
        <f t="shared" si="0"/>
        <v>0</v>
      </c>
      <c r="E14" s="136"/>
    </row>
    <row r="15" spans="1:6" x14ac:dyDescent="0.25">
      <c r="A15" s="47"/>
      <c r="B15" s="137"/>
      <c r="C15" s="138"/>
      <c r="E15" s="56"/>
    </row>
    <row r="16" spans="1:6" x14ac:dyDescent="0.25">
      <c r="B16" s="54"/>
      <c r="C16" s="55"/>
      <c r="E16" s="56"/>
    </row>
    <row r="17" spans="2:5" x14ac:dyDescent="0.25">
      <c r="B17" s="54"/>
      <c r="C17" s="55"/>
      <c r="E17" s="56"/>
    </row>
    <row r="18" spans="2:5" x14ac:dyDescent="0.25">
      <c r="B18" s="54"/>
      <c r="C18" s="55"/>
      <c r="E18" s="56"/>
    </row>
    <row r="19" spans="2:5" x14ac:dyDescent="0.25">
      <c r="B19" s="54"/>
      <c r="C19" s="55"/>
      <c r="E19" s="56"/>
    </row>
    <row r="20" spans="2:5" x14ac:dyDescent="0.25">
      <c r="B20" s="54"/>
      <c r="C20" s="55"/>
      <c r="E20" s="56"/>
    </row>
    <row r="21" spans="2:5" x14ac:dyDescent="0.25">
      <c r="B21" s="54"/>
      <c r="C21" s="55"/>
      <c r="E21" s="56"/>
    </row>
    <row r="22" spans="2:5" x14ac:dyDescent="0.25">
      <c r="B22" s="54"/>
      <c r="C22" s="55"/>
      <c r="E22" s="56"/>
    </row>
    <row r="23" spans="2:5" x14ac:dyDescent="0.25">
      <c r="B23" s="54"/>
      <c r="C23" s="55"/>
      <c r="E23" s="56"/>
    </row>
    <row r="24" spans="2:5" x14ac:dyDescent="0.25">
      <c r="B24" s="54"/>
      <c r="C24" s="55"/>
      <c r="E24" s="56"/>
    </row>
    <row r="25" spans="2:5" x14ac:dyDescent="0.25">
      <c r="B25" s="54"/>
      <c r="C25" s="55"/>
      <c r="E25" s="56"/>
    </row>
    <row r="26" spans="2:5" x14ac:dyDescent="0.25">
      <c r="C26" s="55"/>
      <c r="E26" s="56"/>
    </row>
    <row r="27" spans="2:5" x14ac:dyDescent="0.25">
      <c r="C27" s="55"/>
      <c r="E27" s="56"/>
    </row>
    <row r="28" spans="2:5" x14ac:dyDescent="0.25">
      <c r="C28" s="55"/>
    </row>
    <row r="29" spans="2:5" x14ac:dyDescent="0.25">
      <c r="C29" s="55"/>
    </row>
    <row r="30" spans="2:5" x14ac:dyDescent="0.25">
      <c r="C30" s="55"/>
    </row>
    <row r="31" spans="2:5" x14ac:dyDescent="0.25">
      <c r="C31" s="55"/>
    </row>
  </sheetData>
  <mergeCells count="1">
    <mergeCell ref="A1:D1"/>
  </mergeCells>
  <phoneticPr fontId="0" type="noConversion"/>
  <printOptions horizontalCentered="1"/>
  <pageMargins left="1.0236220472440944" right="0.74803149606299213" top="0.9055118110236221" bottom="0.98425196850393704" header="0.78740157480314965" footer="0.51181102362204722"/>
  <pageSetup paperSize="9" orientation="portrait" horizontalDpi="300" verticalDpi="300" r:id="rId1"/>
  <headerFooter alignWithMargins="0"/>
  <colBreaks count="1" manualBreakCount="1">
    <brk id="6" min="1" max="4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4</vt:i4>
      </vt:variant>
      <vt:variant>
        <vt:lpstr>Καθορισμένες περιοχές</vt:lpstr>
      </vt:variant>
      <vt:variant>
        <vt:i4>5</vt:i4>
      </vt:variant>
    </vt:vector>
  </HeadingPairs>
  <TitlesOfParts>
    <vt:vector size="9" baseType="lpstr">
      <vt:lpstr>Αρχική Λίστα</vt:lpstr>
      <vt:lpstr>Αποτελεσματα</vt:lpstr>
      <vt:lpstr>Ταμπλώ (12)</vt:lpstr>
      <vt:lpstr>Τελική Κατάταξη</vt:lpstr>
      <vt:lpstr>Αποτελεσματα!Print_Area</vt:lpstr>
      <vt:lpstr>'Αρχική Λίστα'!Print_Area</vt:lpstr>
      <vt:lpstr>'Ταμπλώ (12)'!Print_Area</vt:lpstr>
      <vt:lpstr>'Τελική Κατάταξη'!Print_Area</vt:lpstr>
      <vt:lpstr>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Tsintominas Nikos</dc:creator>
  <cp:lastModifiedBy>Ioannis Tsimpinos</cp:lastModifiedBy>
  <cp:lastPrinted>2026-07-29T11:30:50Z</cp:lastPrinted>
  <dcterms:created xsi:type="dcterms:W3CDTF">1997-05-22T14:59:26Z</dcterms:created>
  <dcterms:modified xsi:type="dcterms:W3CDTF">2026-07-29T11:33:34Z</dcterms:modified>
</cp:coreProperties>
</file>