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5.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6.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mc:AlternateContent xmlns:mc="http://schemas.openxmlformats.org/markup-compatibility/2006">
    <mc:Choice Requires="x15">
      <x15ac:absPath xmlns:x15ac="http://schemas.microsoft.com/office/spreadsheetml/2010/11/ac" url="G:\Το Drive μου\Panhellenic Championship\BeachVolleyApp\ADMIN\"/>
    </mc:Choice>
  </mc:AlternateContent>
  <xr:revisionPtr revIDLastSave="0" documentId="13_ncr:1_{B44F2EFE-8E95-4047-956B-FD9D82C12C41}" xr6:coauthVersionLast="47" xr6:coauthVersionMax="47" xr10:uidLastSave="{00000000-0000-0000-0000-000000000000}"/>
  <bookViews>
    <workbookView xWindow="-120" yWindow="-120" windowWidth="20730" windowHeight="11040" tabRatio="500" xr2:uid="{00000000-000D-0000-FFFF-FFFF00000000}"/>
  </bookViews>
  <sheets>
    <sheet name="MEN" sheetId="1" r:id="rId1"/>
    <sheet name="WOMEN" sheetId="2" r:id="rId2"/>
    <sheet name="MEN PRIZES" sheetId="3" r:id="rId3"/>
    <sheet name="WOMEN PRIZES" sheetId="4" r:id="rId4"/>
    <sheet name="MEN_ENTRY" sheetId="5" r:id="rId5"/>
    <sheet name="WOMEN_ENTRY" sheetId="6" r:id="rId6"/>
    <sheet name="ΟΔΗΓΙΕΣ" sheetId="7" r:id="rId7"/>
  </sheets>
  <definedNames>
    <definedName name="_xlnm._FilterDatabase" localSheetId="0" hidden="1">MEN!$B$2:$B$281</definedName>
    <definedName name="_xlnm._FilterDatabase" localSheetId="2" hidden="1">'MEN PRIZES'!$B$2:$B$282</definedName>
    <definedName name="_xlnm._FilterDatabase" localSheetId="1" hidden="1">WOMEN!$B$2:$B$235</definedName>
    <definedName name="_xlnm._FilterDatabase" localSheetId="3" hidden="1">'WOMEN PRIZES'!$B$2:$B$282</definedName>
    <definedName name="_xlnm.Print_Area" localSheetId="0">MEN!$A$1:$R$201</definedName>
    <definedName name="_xlnm.Print_Area" localSheetId="2">'MEN PRIZES'!$A$2:$Q$60</definedName>
    <definedName name="_xlnm.Print_Area" localSheetId="4">MEN_ENTRY!$A$2:$F$49</definedName>
    <definedName name="_xlnm.Print_Area" localSheetId="1">WOMEN!$A$1:$R$169</definedName>
    <definedName name="_xlnm.Print_Area" localSheetId="3">'WOMEN PRIZES'!$A$2:$Q$72</definedName>
    <definedName name="_xlnm.Print_Area" localSheetId="5">WOMEN_ENTRY!$A$2:$F$49</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 xmlns:loext="http://schemas.libreoffice.org/" uri="{7626C862-2A13-11E5-B345-FEFF819CDC9F}">
      <loext:extCalcPr stringRefSyntax="ExcelA1"/>
    </ext>
  </extLst>
</workbook>
</file>

<file path=xl/calcChain.xml><?xml version="1.0" encoding="utf-8"?>
<calcChain xmlns="http://schemas.openxmlformats.org/spreadsheetml/2006/main">
  <c r="A22" i="7" l="1"/>
  <c r="E49" i="6"/>
  <c r="D49" i="6"/>
  <c r="F49" i="6" s="1"/>
  <c r="F48" i="6"/>
  <c r="E48" i="6"/>
  <c r="D48" i="6"/>
  <c r="E47" i="6"/>
  <c r="D47" i="6"/>
  <c r="F47" i="6" s="1"/>
  <c r="E46" i="6"/>
  <c r="D46" i="6"/>
  <c r="F46" i="6" s="1"/>
  <c r="F45" i="6"/>
  <c r="E45" i="6"/>
  <c r="D45" i="6"/>
  <c r="F44" i="6"/>
  <c r="E44" i="6"/>
  <c r="D44" i="6"/>
  <c r="E43" i="6"/>
  <c r="D43" i="6"/>
  <c r="F43" i="6" s="1"/>
  <c r="E42" i="6"/>
  <c r="D42" i="6"/>
  <c r="F42" i="6" s="1"/>
  <c r="F41" i="6"/>
  <c r="E41" i="6"/>
  <c r="D41" i="6"/>
  <c r="F40" i="6"/>
  <c r="E40" i="6"/>
  <c r="D40" i="6"/>
  <c r="E39" i="6"/>
  <c r="D39" i="6"/>
  <c r="F39" i="6" s="1"/>
  <c r="E38" i="6"/>
  <c r="D38" i="6"/>
  <c r="F38" i="6" s="1"/>
  <c r="F37" i="6"/>
  <c r="E37" i="6"/>
  <c r="D37" i="6"/>
  <c r="F36" i="6"/>
  <c r="E36" i="6"/>
  <c r="D36" i="6"/>
  <c r="E35" i="6"/>
  <c r="D35" i="6"/>
  <c r="F35" i="6" s="1"/>
  <c r="E34" i="6"/>
  <c r="D34" i="6"/>
  <c r="F34" i="6" s="1"/>
  <c r="F33" i="6"/>
  <c r="E33" i="6"/>
  <c r="D33" i="6"/>
  <c r="F32" i="6"/>
  <c r="E32" i="6"/>
  <c r="D32" i="6"/>
  <c r="E31" i="6"/>
  <c r="D31" i="6"/>
  <c r="F31" i="6" s="1"/>
  <c r="E30" i="6"/>
  <c r="D30" i="6"/>
  <c r="F30" i="6" s="1"/>
  <c r="F29" i="6"/>
  <c r="E29" i="6"/>
  <c r="D29" i="6"/>
  <c r="F28" i="6"/>
  <c r="E28" i="6"/>
  <c r="D28" i="6"/>
  <c r="E27" i="6"/>
  <c r="D27" i="6"/>
  <c r="F27" i="6" s="1"/>
  <c r="E26" i="6"/>
  <c r="D26" i="6"/>
  <c r="F26" i="6" s="1"/>
  <c r="F25" i="6"/>
  <c r="E25" i="6"/>
  <c r="D25" i="6"/>
  <c r="F24" i="6"/>
  <c r="E24" i="6"/>
  <c r="D24" i="6"/>
  <c r="E23" i="6"/>
  <c r="D23" i="6"/>
  <c r="F23" i="6" s="1"/>
  <c r="E22" i="6"/>
  <c r="D22" i="6"/>
  <c r="F22" i="6" s="1"/>
  <c r="F21" i="6"/>
  <c r="E21" i="6"/>
  <c r="D21" i="6"/>
  <c r="E20" i="6"/>
  <c r="D20" i="6"/>
  <c r="F20" i="6" s="1"/>
  <c r="E19" i="6"/>
  <c r="D19" i="6"/>
  <c r="F19" i="6" s="1"/>
  <c r="E18" i="6"/>
  <c r="D18" i="6"/>
  <c r="F18" i="6" s="1"/>
  <c r="E17" i="6"/>
  <c r="D17" i="6"/>
  <c r="F17" i="6" s="1"/>
  <c r="F16" i="6"/>
  <c r="E16" i="6"/>
  <c r="D16" i="6"/>
  <c r="E15" i="6"/>
  <c r="F15" i="6" s="1"/>
  <c r="D15" i="6"/>
  <c r="E14" i="6"/>
  <c r="D14" i="6"/>
  <c r="F14" i="6" s="1"/>
  <c r="E13" i="6"/>
  <c r="D13" i="6"/>
  <c r="F13" i="6" s="1"/>
  <c r="F12" i="6"/>
  <c r="E12" i="6"/>
  <c r="D12" i="6"/>
  <c r="E11" i="6"/>
  <c r="F11" i="6" s="1"/>
  <c r="D11" i="6"/>
  <c r="E10" i="6"/>
  <c r="D10" i="6"/>
  <c r="F10" i="6" s="1"/>
  <c r="E9" i="6"/>
  <c r="D9" i="6"/>
  <c r="F9" i="6" s="1"/>
  <c r="F8" i="6"/>
  <c r="E8" i="6"/>
  <c r="D8" i="6"/>
  <c r="E7" i="6"/>
  <c r="F7" i="6" s="1"/>
  <c r="D7" i="6"/>
  <c r="E6" i="6"/>
  <c r="D6" i="6"/>
  <c r="F6" i="6" s="1"/>
  <c r="E5" i="6"/>
  <c r="D5" i="6"/>
  <c r="F5" i="6" s="1"/>
  <c r="F4" i="6"/>
  <c r="E4" i="6"/>
  <c r="D4" i="6"/>
  <c r="E49" i="5"/>
  <c r="D49" i="5"/>
  <c r="E48" i="5"/>
  <c r="D48" i="5"/>
  <c r="F48" i="5" s="1"/>
  <c r="E47" i="5"/>
  <c r="D47" i="5"/>
  <c r="E46" i="5"/>
  <c r="D46" i="5"/>
  <c r="E45" i="5"/>
  <c r="D45" i="5"/>
  <c r="E44" i="5"/>
  <c r="D44" i="5"/>
  <c r="E43" i="5"/>
  <c r="D43" i="5"/>
  <c r="E42" i="5"/>
  <c r="D42" i="5"/>
  <c r="F42" i="5" s="1"/>
  <c r="E41" i="5"/>
  <c r="D41" i="5"/>
  <c r="E40" i="5"/>
  <c r="D40" i="5"/>
  <c r="F40" i="5" s="1"/>
  <c r="E39" i="5"/>
  <c r="D39" i="5"/>
  <c r="E38" i="5"/>
  <c r="D38" i="5"/>
  <c r="F38" i="5" s="1"/>
  <c r="E37" i="5"/>
  <c r="D37" i="5"/>
  <c r="E36" i="5"/>
  <c r="D36" i="5"/>
  <c r="E35" i="5"/>
  <c r="D35" i="5"/>
  <c r="E34" i="5"/>
  <c r="D34" i="5"/>
  <c r="F34" i="5" s="1"/>
  <c r="E33" i="5"/>
  <c r="D33" i="5"/>
  <c r="E32" i="5"/>
  <c r="D32" i="5"/>
  <c r="E31" i="5"/>
  <c r="D31" i="5"/>
  <c r="E30" i="5"/>
  <c r="D30" i="5"/>
  <c r="E29" i="5"/>
  <c r="D29" i="5"/>
  <c r="E28" i="5"/>
  <c r="D28" i="5"/>
  <c r="E27" i="5"/>
  <c r="D27" i="5"/>
  <c r="E26" i="5"/>
  <c r="D26" i="5"/>
  <c r="E25" i="5"/>
  <c r="D25" i="5"/>
  <c r="E24" i="5"/>
  <c r="D24" i="5"/>
  <c r="E23" i="5"/>
  <c r="D23" i="5"/>
  <c r="E22" i="5"/>
  <c r="D22" i="5"/>
  <c r="E21" i="5"/>
  <c r="D21" i="5"/>
  <c r="E20" i="5"/>
  <c r="D20" i="5"/>
  <c r="E19" i="5"/>
  <c r="D19" i="5"/>
  <c r="E18" i="5"/>
  <c r="D18" i="5"/>
  <c r="E17" i="5"/>
  <c r="D17" i="5"/>
  <c r="E16" i="5"/>
  <c r="D16" i="5"/>
  <c r="E15" i="5"/>
  <c r="D15" i="5"/>
  <c r="E14" i="5"/>
  <c r="D14" i="5"/>
  <c r="E13" i="5"/>
  <c r="D13" i="5"/>
  <c r="E12" i="5"/>
  <c r="D12" i="5"/>
  <c r="E11" i="5"/>
  <c r="D11" i="5"/>
  <c r="E10" i="5"/>
  <c r="D10" i="5"/>
  <c r="E9" i="5"/>
  <c r="D9" i="5"/>
  <c r="E8" i="5"/>
  <c r="D8" i="5"/>
  <c r="E7" i="5"/>
  <c r="D7" i="5"/>
  <c r="E6" i="5"/>
  <c r="D6" i="5"/>
  <c r="E5" i="5"/>
  <c r="D5" i="5"/>
  <c r="E4" i="5"/>
  <c r="D4" i="5"/>
  <c r="E282" i="4"/>
  <c r="M235" i="4"/>
  <c r="M282" i="4" s="1"/>
  <c r="P234" i="4"/>
  <c r="O234" i="4"/>
  <c r="L234" i="4"/>
  <c r="H234" i="4"/>
  <c r="G234" i="4"/>
  <c r="P84" i="4"/>
  <c r="O84" i="4"/>
  <c r="N84" i="4"/>
  <c r="M84" i="4"/>
  <c r="L84" i="4"/>
  <c r="K84" i="4"/>
  <c r="K234" i="4" s="1"/>
  <c r="J84" i="4"/>
  <c r="I84" i="4"/>
  <c r="H84" i="4"/>
  <c r="G84" i="4"/>
  <c r="F84" i="4"/>
  <c r="E84" i="4"/>
  <c r="D84" i="4"/>
  <c r="C84" i="4"/>
  <c r="P83" i="4"/>
  <c r="O83" i="4"/>
  <c r="N83" i="4"/>
  <c r="N234" i="4" s="1"/>
  <c r="M83" i="4"/>
  <c r="M234" i="4" s="1"/>
  <c r="L83" i="4"/>
  <c r="K83" i="4"/>
  <c r="J83" i="4"/>
  <c r="J234" i="4" s="1"/>
  <c r="I83" i="4"/>
  <c r="I234" i="4" s="1"/>
  <c r="H83" i="4"/>
  <c r="G83" i="4"/>
  <c r="F83" i="4"/>
  <c r="F281" i="4" s="1"/>
  <c r="E83" i="4"/>
  <c r="E281" i="4" s="1"/>
  <c r="D83" i="4"/>
  <c r="C83" i="4"/>
  <c r="Q82" i="4"/>
  <c r="A82" i="4"/>
  <c r="Q81" i="4"/>
  <c r="Q80" i="4"/>
  <c r="A81" i="4" s="1"/>
  <c r="A80" i="4"/>
  <c r="Q79" i="4"/>
  <c r="Q78" i="4"/>
  <c r="A79" i="4" s="1"/>
  <c r="Q77" i="4"/>
  <c r="Q76" i="4"/>
  <c r="A77" i="4" s="1"/>
  <c r="A76" i="4"/>
  <c r="Q75" i="4"/>
  <c r="Q74" i="4"/>
  <c r="A75" i="4" s="1"/>
  <c r="A74" i="4"/>
  <c r="Q73" i="4"/>
  <c r="Q72" i="4"/>
  <c r="A73" i="4" s="1"/>
  <c r="Q71" i="4"/>
  <c r="Q70" i="4"/>
  <c r="Q69" i="4"/>
  <c r="Q68" i="4"/>
  <c r="Q67" i="4"/>
  <c r="Q66" i="4"/>
  <c r="Q65" i="4"/>
  <c r="Q64" i="4"/>
  <c r="Q63" i="4"/>
  <c r="Q62" i="4"/>
  <c r="Q61" i="4"/>
  <c r="Q60" i="4"/>
  <c r="Q59" i="4"/>
  <c r="Q58" i="4"/>
  <c r="Q57" i="4"/>
  <c r="Q56" i="4"/>
  <c r="Q55" i="4"/>
  <c r="Q54" i="4"/>
  <c r="Q53" i="4"/>
  <c r="Q52" i="4"/>
  <c r="Q51" i="4"/>
  <c r="Q50" i="4"/>
  <c r="Q49" i="4"/>
  <c r="Q48" i="4"/>
  <c r="Q47" i="4"/>
  <c r="Q46" i="4"/>
  <c r="Q45" i="4"/>
  <c r="Q44" i="4"/>
  <c r="Q43" i="4"/>
  <c r="Q42" i="4"/>
  <c r="Q41" i="4"/>
  <c r="Q40" i="4"/>
  <c r="Q39" i="4"/>
  <c r="Q38" i="4"/>
  <c r="Q37" i="4"/>
  <c r="Q36" i="4"/>
  <c r="Q35" i="4"/>
  <c r="Q34" i="4"/>
  <c r="Q33" i="4"/>
  <c r="Q32" i="4"/>
  <c r="Q31" i="4"/>
  <c r="Q30" i="4"/>
  <c r="Q29" i="4"/>
  <c r="Q28" i="4"/>
  <c r="Q27" i="4"/>
  <c r="Q26" i="4"/>
  <c r="Q25" i="4"/>
  <c r="Q24" i="4"/>
  <c r="Q23" i="4"/>
  <c r="Q22" i="4"/>
  <c r="Q21" i="4"/>
  <c r="Q20" i="4"/>
  <c r="Q19" i="4"/>
  <c r="Q18" i="4"/>
  <c r="Q17" i="4"/>
  <c r="Q16" i="4"/>
  <c r="Q15" i="4"/>
  <c r="Q14" i="4"/>
  <c r="Q13" i="4"/>
  <c r="Q12" i="4"/>
  <c r="Q11" i="4"/>
  <c r="Q10" i="4"/>
  <c r="Q9" i="4"/>
  <c r="Q8" i="4"/>
  <c r="Q7" i="4"/>
  <c r="Q6" i="4"/>
  <c r="Q5" i="4"/>
  <c r="Q4" i="4"/>
  <c r="E281" i="3"/>
  <c r="L235" i="3"/>
  <c r="I235" i="3"/>
  <c r="I282" i="3" s="1"/>
  <c r="O234" i="3"/>
  <c r="J234" i="3"/>
  <c r="H234" i="3"/>
  <c r="P78" i="3"/>
  <c r="O78" i="3"/>
  <c r="N78" i="3"/>
  <c r="M78" i="3"/>
  <c r="L78" i="3"/>
  <c r="K78" i="3"/>
  <c r="K234" i="3" s="1"/>
  <c r="J78" i="3"/>
  <c r="I78" i="3"/>
  <c r="H78" i="3"/>
  <c r="G78" i="3"/>
  <c r="G234" i="3" s="1"/>
  <c r="F78" i="3"/>
  <c r="E78" i="3"/>
  <c r="D78" i="3"/>
  <c r="C78" i="3"/>
  <c r="P77" i="3"/>
  <c r="O77" i="3"/>
  <c r="N77" i="3"/>
  <c r="M77" i="3"/>
  <c r="M234" i="3" s="1"/>
  <c r="L77" i="3"/>
  <c r="K77" i="3"/>
  <c r="J77" i="3"/>
  <c r="I77" i="3"/>
  <c r="I234" i="3" s="1"/>
  <c r="H77" i="3"/>
  <c r="G77" i="3"/>
  <c r="F77" i="3"/>
  <c r="E77" i="3"/>
  <c r="E282" i="3" s="1"/>
  <c r="D77" i="3"/>
  <c r="Q77" i="3" s="1"/>
  <c r="C77" i="3"/>
  <c r="Q76" i="3"/>
  <c r="A76" i="3" s="1"/>
  <c r="Q75" i="3"/>
  <c r="Q74" i="3"/>
  <c r="A74" i="3" s="1"/>
  <c r="Q73" i="3"/>
  <c r="A73" i="3" s="1"/>
  <c r="Q72" i="3"/>
  <c r="A72" i="3"/>
  <c r="Q71" i="3"/>
  <c r="A71" i="3" s="1"/>
  <c r="Q70" i="3"/>
  <c r="A70" i="3" s="1"/>
  <c r="Q69" i="3"/>
  <c r="A69" i="3" s="1"/>
  <c r="Q68" i="3"/>
  <c r="A68" i="3" s="1"/>
  <c r="Q67" i="3"/>
  <c r="Q66" i="3"/>
  <c r="A66" i="3" s="1"/>
  <c r="Q65" i="3"/>
  <c r="A65" i="3" s="1"/>
  <c r="Q64" i="3"/>
  <c r="A64" i="3"/>
  <c r="Q63" i="3"/>
  <c r="A63" i="3" s="1"/>
  <c r="Q62" i="3"/>
  <c r="A62" i="3" s="1"/>
  <c r="Q61" i="3"/>
  <c r="A61" i="3" s="1"/>
  <c r="Q60" i="3"/>
  <c r="Q59" i="3"/>
  <c r="Q58" i="3"/>
  <c r="Q57" i="3"/>
  <c r="Q56" i="3"/>
  <c r="Q55" i="3"/>
  <c r="Q54" i="3"/>
  <c r="Q53" i="3"/>
  <c r="Q52" i="3"/>
  <c r="Q51" i="3"/>
  <c r="Q50" i="3"/>
  <c r="Q49" i="3"/>
  <c r="Q48" i="3"/>
  <c r="Q47" i="3"/>
  <c r="Q46" i="3"/>
  <c r="Q45" i="3"/>
  <c r="Q44" i="3"/>
  <c r="Q43" i="3"/>
  <c r="Q42" i="3"/>
  <c r="Q41" i="3"/>
  <c r="Q40" i="3"/>
  <c r="Q39" i="3"/>
  <c r="Q38" i="3"/>
  <c r="Q37" i="3"/>
  <c r="Q36" i="3"/>
  <c r="Q35" i="3"/>
  <c r="Q34" i="3"/>
  <c r="Q33" i="3"/>
  <c r="Q32" i="3"/>
  <c r="Q31" i="3"/>
  <c r="Q30" i="3"/>
  <c r="Q29" i="3"/>
  <c r="Q28" i="3"/>
  <c r="Q27" i="3"/>
  <c r="Q26" i="3"/>
  <c r="Q25" i="3"/>
  <c r="Q24" i="3"/>
  <c r="Q23" i="3"/>
  <c r="Q22" i="3"/>
  <c r="Q21" i="3"/>
  <c r="Q20" i="3"/>
  <c r="Q19" i="3"/>
  <c r="Q18" i="3"/>
  <c r="Q17" i="3"/>
  <c r="Q16" i="3"/>
  <c r="Q15" i="3"/>
  <c r="Q14" i="3"/>
  <c r="Q13" i="3"/>
  <c r="Q12" i="3"/>
  <c r="Q11" i="3"/>
  <c r="Q10" i="3"/>
  <c r="Q9" i="3"/>
  <c r="Q8" i="3"/>
  <c r="Q7" i="3"/>
  <c r="Q6" i="3"/>
  <c r="Q5" i="3"/>
  <c r="Q4" i="3"/>
  <c r="Q78" i="3" s="1"/>
  <c r="M282" i="2"/>
  <c r="F282" i="2"/>
  <c r="P281" i="2"/>
  <c r="N281" i="2"/>
  <c r="J281" i="2"/>
  <c r="D281" i="2"/>
  <c r="Q235" i="2"/>
  <c r="P235" i="2"/>
  <c r="O235" i="2"/>
  <c r="N235" i="2"/>
  <c r="M235" i="2"/>
  <c r="L235" i="2"/>
  <c r="K235" i="2"/>
  <c r="J235" i="2"/>
  <c r="I235" i="2"/>
  <c r="H235" i="2"/>
  <c r="G235" i="2"/>
  <c r="G282" i="2" s="1"/>
  <c r="F235" i="2"/>
  <c r="E235" i="2"/>
  <c r="D235" i="2"/>
  <c r="C235" i="2"/>
  <c r="R235" i="2" s="1"/>
  <c r="Q234" i="2"/>
  <c r="P234" i="2"/>
  <c r="P282" i="2" s="1"/>
  <c r="O234" i="2"/>
  <c r="N234" i="2"/>
  <c r="N282" i="2" s="1"/>
  <c r="M234" i="2"/>
  <c r="M281" i="2" s="1"/>
  <c r="L234" i="2"/>
  <c r="L282" i="2" s="1"/>
  <c r="K234" i="2"/>
  <c r="J234" i="2"/>
  <c r="J282" i="2" s="1"/>
  <c r="I234" i="2"/>
  <c r="H234" i="2"/>
  <c r="H281" i="2" s="1"/>
  <c r="G234" i="2"/>
  <c r="G281" i="2" s="1"/>
  <c r="F234" i="2"/>
  <c r="F281" i="2" s="1"/>
  <c r="E234" i="2"/>
  <c r="E282" i="2" s="1"/>
  <c r="D234" i="2"/>
  <c r="D282" i="2" s="1"/>
  <c r="C234" i="2"/>
  <c r="R232" i="2"/>
  <c r="A232" i="2"/>
  <c r="R231" i="2"/>
  <c r="A231" i="2"/>
  <c r="R230" i="2"/>
  <c r="A230" i="2"/>
  <c r="R229" i="2"/>
  <c r="A229" i="2"/>
  <c r="R228" i="2"/>
  <c r="A228" i="2"/>
  <c r="R227" i="2"/>
  <c r="A227" i="2"/>
  <c r="R226" i="2"/>
  <c r="A226" i="2"/>
  <c r="R225" i="2"/>
  <c r="A225" i="2"/>
  <c r="R224" i="2"/>
  <c r="A224" i="2"/>
  <c r="R223" i="2"/>
  <c r="A223" i="2"/>
  <c r="R222" i="2"/>
  <c r="A222" i="2"/>
  <c r="R221" i="2"/>
  <c r="A221" i="2"/>
  <c r="R220" i="2"/>
  <c r="A220" i="2"/>
  <c r="R219" i="2"/>
  <c r="A219" i="2"/>
  <c r="R218" i="2"/>
  <c r="A218" i="2"/>
  <c r="R217" i="2"/>
  <c r="A217" i="2"/>
  <c r="R216" i="2"/>
  <c r="A216" i="2"/>
  <c r="R215" i="2"/>
  <c r="A215" i="2"/>
  <c r="R214" i="2"/>
  <c r="A214" i="2"/>
  <c r="R213" i="2"/>
  <c r="A213" i="2"/>
  <c r="R212" i="2"/>
  <c r="A212" i="2"/>
  <c r="R211" i="2"/>
  <c r="A211" i="2"/>
  <c r="R210" i="2"/>
  <c r="A210" i="2"/>
  <c r="R209" i="2"/>
  <c r="A209" i="2"/>
  <c r="R208" i="2"/>
  <c r="A208" i="2"/>
  <c r="R207" i="2"/>
  <c r="A207" i="2"/>
  <c r="R206" i="2"/>
  <c r="A206" i="2"/>
  <c r="R205" i="2"/>
  <c r="A205" i="2"/>
  <c r="R204" i="2"/>
  <c r="A204" i="2"/>
  <c r="R203" i="2"/>
  <c r="A203" i="2"/>
  <c r="R202" i="2"/>
  <c r="A202" i="2"/>
  <c r="R201" i="2"/>
  <c r="A201" i="2"/>
  <c r="R200" i="2"/>
  <c r="A200" i="2"/>
  <c r="R199" i="2"/>
  <c r="A199" i="2"/>
  <c r="R198" i="2"/>
  <c r="A198" i="2"/>
  <c r="R197" i="2"/>
  <c r="A197" i="2"/>
  <c r="R196" i="2"/>
  <c r="A196" i="2"/>
  <c r="R195" i="2"/>
  <c r="A195" i="2"/>
  <c r="R194" i="2"/>
  <c r="A194" i="2"/>
  <c r="R193" i="2"/>
  <c r="A193" i="2"/>
  <c r="R192" i="2"/>
  <c r="A192" i="2"/>
  <c r="R191" i="2"/>
  <c r="A191" i="2"/>
  <c r="R190" i="2"/>
  <c r="A190" i="2"/>
  <c r="R189" i="2"/>
  <c r="A189" i="2"/>
  <c r="R188" i="2"/>
  <c r="A188" i="2"/>
  <c r="R187" i="2"/>
  <c r="A187" i="2"/>
  <c r="R186" i="2"/>
  <c r="A186" i="2"/>
  <c r="R185" i="2"/>
  <c r="A185" i="2"/>
  <c r="R184" i="2"/>
  <c r="A184" i="2"/>
  <c r="R183" i="2"/>
  <c r="A183" i="2"/>
  <c r="R182" i="2"/>
  <c r="A182" i="2"/>
  <c r="R181" i="2"/>
  <c r="A181" i="2"/>
  <c r="R180" i="2"/>
  <c r="A180" i="2"/>
  <c r="R179" i="2"/>
  <c r="A179" i="2"/>
  <c r="R178" i="2"/>
  <c r="A178" i="2"/>
  <c r="R177" i="2"/>
  <c r="A177" i="2"/>
  <c r="R176" i="2"/>
  <c r="A176" i="2"/>
  <c r="R175" i="2"/>
  <c r="A175" i="2"/>
  <c r="R174" i="2"/>
  <c r="A174" i="2"/>
  <c r="R173" i="2"/>
  <c r="A173" i="2"/>
  <c r="R172" i="2"/>
  <c r="A172" i="2"/>
  <c r="R171" i="2"/>
  <c r="A171" i="2"/>
  <c r="R170" i="2"/>
  <c r="A170" i="2"/>
  <c r="R169" i="2"/>
  <c r="R168" i="2"/>
  <c r="R167" i="2"/>
  <c r="R166" i="2"/>
  <c r="R165" i="2"/>
  <c r="R164" i="2"/>
  <c r="R163" i="2"/>
  <c r="R162" i="2"/>
  <c r="R161" i="2"/>
  <c r="R160" i="2"/>
  <c r="R159" i="2"/>
  <c r="R158" i="2"/>
  <c r="R157" i="2"/>
  <c r="R156" i="2"/>
  <c r="R155" i="2"/>
  <c r="R154" i="2"/>
  <c r="R153" i="2"/>
  <c r="R152" i="2"/>
  <c r="R151" i="2"/>
  <c r="R150" i="2"/>
  <c r="R149" i="2"/>
  <c r="R148" i="2"/>
  <c r="R147" i="2"/>
  <c r="R146" i="2"/>
  <c r="R145" i="2"/>
  <c r="R144" i="2"/>
  <c r="R143" i="2"/>
  <c r="R142" i="2"/>
  <c r="R141" i="2"/>
  <c r="R140" i="2"/>
  <c r="R139" i="2"/>
  <c r="R138" i="2"/>
  <c r="R137" i="2"/>
  <c r="R136" i="2"/>
  <c r="R135" i="2"/>
  <c r="R134" i="2"/>
  <c r="R133" i="2"/>
  <c r="R132" i="2"/>
  <c r="R131" i="2"/>
  <c r="R130" i="2"/>
  <c r="R129" i="2"/>
  <c r="R128" i="2"/>
  <c r="R127" i="2"/>
  <c r="R126" i="2"/>
  <c r="R125" i="2"/>
  <c r="R124" i="2"/>
  <c r="R123" i="2"/>
  <c r="R122" i="2"/>
  <c r="R121" i="2"/>
  <c r="R120" i="2"/>
  <c r="R119" i="2"/>
  <c r="R118" i="2"/>
  <c r="R117" i="2"/>
  <c r="R116" i="2"/>
  <c r="R115" i="2"/>
  <c r="R114" i="2"/>
  <c r="R113" i="2"/>
  <c r="R112" i="2"/>
  <c r="R111" i="2"/>
  <c r="R110" i="2"/>
  <c r="R109" i="2"/>
  <c r="R108" i="2"/>
  <c r="R107" i="2"/>
  <c r="R106" i="2"/>
  <c r="R105" i="2"/>
  <c r="R104" i="2"/>
  <c r="R103" i="2"/>
  <c r="R102" i="2"/>
  <c r="R101" i="2"/>
  <c r="R100" i="2"/>
  <c r="R99" i="2"/>
  <c r="R98" i="2"/>
  <c r="R97" i="2"/>
  <c r="R96" i="2"/>
  <c r="R95" i="2"/>
  <c r="R94" i="2"/>
  <c r="R93" i="2"/>
  <c r="R92" i="2"/>
  <c r="R91" i="2"/>
  <c r="R90" i="2"/>
  <c r="R89" i="2"/>
  <c r="R88" i="2"/>
  <c r="R87" i="2"/>
  <c r="R86" i="2"/>
  <c r="R85" i="2"/>
  <c r="R84" i="2"/>
  <c r="R83" i="2"/>
  <c r="R82" i="2"/>
  <c r="R81" i="2"/>
  <c r="R80" i="2"/>
  <c r="R79" i="2"/>
  <c r="R78" i="2"/>
  <c r="R77" i="2"/>
  <c r="R76" i="2"/>
  <c r="R75" i="2"/>
  <c r="R74" i="2"/>
  <c r="R73" i="2"/>
  <c r="R72" i="2"/>
  <c r="R71" i="2"/>
  <c r="R70" i="2"/>
  <c r="R69" i="2"/>
  <c r="R68" i="2"/>
  <c r="R67" i="2"/>
  <c r="R66" i="2"/>
  <c r="R65" i="2"/>
  <c r="R64" i="2"/>
  <c r="R63" i="2"/>
  <c r="R62" i="2"/>
  <c r="R61" i="2"/>
  <c r="R60" i="2"/>
  <c r="R59" i="2"/>
  <c r="R58" i="2"/>
  <c r="R57" i="2"/>
  <c r="R56" i="2"/>
  <c r="R55" i="2"/>
  <c r="R54" i="2"/>
  <c r="R53" i="2"/>
  <c r="R52" i="2"/>
  <c r="R51" i="2"/>
  <c r="R50" i="2"/>
  <c r="R49" i="2"/>
  <c r="R48" i="2"/>
  <c r="R47" i="2"/>
  <c r="R46" i="2"/>
  <c r="R45" i="2"/>
  <c r="R44" i="2"/>
  <c r="R43" i="2"/>
  <c r="R42" i="2"/>
  <c r="R41" i="2"/>
  <c r="R40" i="2"/>
  <c r="R39" i="2"/>
  <c r="R38" i="2"/>
  <c r="R37" i="2"/>
  <c r="R36" i="2"/>
  <c r="R35" i="2"/>
  <c r="R34" i="2"/>
  <c r="R33" i="2"/>
  <c r="R32" i="2"/>
  <c r="R31" i="2"/>
  <c r="R30" i="2"/>
  <c r="R29" i="2"/>
  <c r="R28" i="2"/>
  <c r="R27" i="2"/>
  <c r="R26" i="2"/>
  <c r="R25" i="2"/>
  <c r="R24" i="2"/>
  <c r="R23" i="2"/>
  <c r="R22" i="2"/>
  <c r="R21" i="2"/>
  <c r="R20" i="2"/>
  <c r="R19" i="2"/>
  <c r="R18" i="2"/>
  <c r="R17" i="2"/>
  <c r="R16" i="2"/>
  <c r="R15" i="2"/>
  <c r="R14" i="2"/>
  <c r="R13" i="2"/>
  <c r="R12" i="2"/>
  <c r="R11" i="2"/>
  <c r="R10" i="2"/>
  <c r="R9" i="2"/>
  <c r="R8" i="2"/>
  <c r="R7" i="2"/>
  <c r="R6" i="2"/>
  <c r="R5" i="2"/>
  <c r="R4" i="2"/>
  <c r="Q280" i="1"/>
  <c r="P280" i="1"/>
  <c r="O280" i="1"/>
  <c r="N280" i="1"/>
  <c r="M280" i="1"/>
  <c r="L280" i="1"/>
  <c r="K280" i="1"/>
  <c r="J280" i="1"/>
  <c r="I280" i="1"/>
  <c r="H280" i="1"/>
  <c r="G280" i="1"/>
  <c r="F280" i="1"/>
  <c r="E280" i="1"/>
  <c r="D280" i="1"/>
  <c r="C280" i="1"/>
  <c r="Q279" i="1"/>
  <c r="P279" i="1"/>
  <c r="O279" i="1"/>
  <c r="N279" i="1"/>
  <c r="M279" i="1"/>
  <c r="L279" i="1"/>
  <c r="K279" i="1"/>
  <c r="J279" i="1"/>
  <c r="I279" i="1"/>
  <c r="H279" i="1"/>
  <c r="G279" i="1"/>
  <c r="F279" i="1"/>
  <c r="E279" i="1"/>
  <c r="D279" i="1"/>
  <c r="C279" i="1"/>
  <c r="R277" i="1"/>
  <c r="R276" i="1"/>
  <c r="A276" i="1" s="1"/>
  <c r="R275" i="1"/>
  <c r="R274" i="1"/>
  <c r="A274" i="1" s="1"/>
  <c r="R273" i="1"/>
  <c r="R272" i="1"/>
  <c r="A272" i="1" s="1"/>
  <c r="R271" i="1"/>
  <c r="R270" i="1"/>
  <c r="A270" i="1" s="1"/>
  <c r="R269" i="1"/>
  <c r="R268" i="1"/>
  <c r="A268" i="1" s="1"/>
  <c r="R267" i="1"/>
  <c r="R266" i="1"/>
  <c r="A266" i="1" s="1"/>
  <c r="R265" i="1"/>
  <c r="R264" i="1"/>
  <c r="A264" i="1" s="1"/>
  <c r="R263" i="1"/>
  <c r="R262" i="1"/>
  <c r="A262" i="1" s="1"/>
  <c r="R261" i="1"/>
  <c r="R260" i="1"/>
  <c r="A260" i="1" s="1"/>
  <c r="R259" i="1"/>
  <c r="R258" i="1"/>
  <c r="A258" i="1" s="1"/>
  <c r="R257" i="1"/>
  <c r="R256" i="1"/>
  <c r="A256" i="1" s="1"/>
  <c r="R255" i="1"/>
  <c r="R254" i="1"/>
  <c r="A254" i="1" s="1"/>
  <c r="R253" i="1"/>
  <c r="R252" i="1"/>
  <c r="A252" i="1" s="1"/>
  <c r="R251" i="1"/>
  <c r="R250" i="1"/>
  <c r="A250" i="1" s="1"/>
  <c r="R249" i="1"/>
  <c r="R248" i="1"/>
  <c r="A248" i="1" s="1"/>
  <c r="R247" i="1"/>
  <c r="R246" i="1"/>
  <c r="A246" i="1" s="1"/>
  <c r="R245" i="1"/>
  <c r="R244" i="1"/>
  <c r="A244" i="1" s="1"/>
  <c r="R243" i="1"/>
  <c r="R242" i="1"/>
  <c r="A242" i="1" s="1"/>
  <c r="R241" i="1"/>
  <c r="R240" i="1"/>
  <c r="A240" i="1" s="1"/>
  <c r="R239" i="1"/>
  <c r="R238" i="1"/>
  <c r="A238" i="1" s="1"/>
  <c r="R237" i="1"/>
  <c r="R236" i="1"/>
  <c r="A236" i="1" s="1"/>
  <c r="R235" i="1"/>
  <c r="R234" i="1"/>
  <c r="A234" i="1" s="1"/>
  <c r="R233" i="1"/>
  <c r="R232" i="1"/>
  <c r="A232" i="1" s="1"/>
  <c r="R231" i="1"/>
  <c r="R230" i="1"/>
  <c r="A230" i="1" s="1"/>
  <c r="R229" i="1"/>
  <c r="R228" i="1"/>
  <c r="A228" i="1" s="1"/>
  <c r="R227" i="1"/>
  <c r="R226" i="1"/>
  <c r="A226" i="1" s="1"/>
  <c r="R225" i="1"/>
  <c r="R224" i="1"/>
  <c r="A224" i="1" s="1"/>
  <c r="R223" i="1"/>
  <c r="R222" i="1"/>
  <c r="A222" i="1" s="1"/>
  <c r="R221" i="1"/>
  <c r="R220" i="1"/>
  <c r="A220" i="1" s="1"/>
  <c r="R219" i="1"/>
  <c r="R218" i="1"/>
  <c r="A218" i="1" s="1"/>
  <c r="R217" i="1"/>
  <c r="R216" i="1"/>
  <c r="A216" i="1" s="1"/>
  <c r="R215" i="1"/>
  <c r="R214" i="1"/>
  <c r="A214" i="1" s="1"/>
  <c r="R213" i="1"/>
  <c r="R212" i="1"/>
  <c r="A212" i="1" s="1"/>
  <c r="R211" i="1"/>
  <c r="R210" i="1"/>
  <c r="A210" i="1" s="1"/>
  <c r="R209" i="1"/>
  <c r="R208" i="1"/>
  <c r="A208" i="1" s="1"/>
  <c r="R207" i="1"/>
  <c r="R206" i="1"/>
  <c r="A206" i="1" s="1"/>
  <c r="R205" i="1"/>
  <c r="R204" i="1"/>
  <c r="A204" i="1" s="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9" i="1"/>
  <c r="R138" i="1"/>
  <c r="R137"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R14" i="1"/>
  <c r="R13" i="1"/>
  <c r="R12" i="1"/>
  <c r="R11" i="1"/>
  <c r="R10" i="1"/>
  <c r="R9" i="1"/>
  <c r="R8" i="1"/>
  <c r="R7" i="1"/>
  <c r="R6" i="1"/>
  <c r="R5" i="1"/>
  <c r="R4" i="1"/>
  <c r="F11" i="5" l="1"/>
  <c r="F13" i="5"/>
  <c r="F15" i="5"/>
  <c r="F17" i="5"/>
  <c r="F39" i="5"/>
  <c r="F47" i="5"/>
  <c r="F21" i="5"/>
  <c r="F29" i="5"/>
  <c r="A202" i="1"/>
  <c r="F9" i="5"/>
  <c r="F4" i="5"/>
  <c r="F8" i="5"/>
  <c r="F10" i="5"/>
  <c r="F12" i="5"/>
  <c r="F16" i="5"/>
  <c r="F30" i="5"/>
  <c r="F6" i="5"/>
  <c r="F5" i="5"/>
  <c r="F7" i="5"/>
  <c r="F14" i="5"/>
  <c r="F18" i="5"/>
  <c r="F22" i="5"/>
  <c r="F24" i="5"/>
  <c r="F26" i="5"/>
  <c r="F32" i="5"/>
  <c r="F37" i="5"/>
  <c r="F45" i="5"/>
  <c r="F19" i="5"/>
  <c r="F23" i="5"/>
  <c r="F31" i="5"/>
  <c r="F46" i="5"/>
  <c r="F28" i="5"/>
  <c r="F33" i="5"/>
  <c r="F35" i="5"/>
  <c r="F44" i="5"/>
  <c r="F49" i="5"/>
  <c r="F20" i="5"/>
  <c r="F25" i="5"/>
  <c r="F27" i="5"/>
  <c r="F36" i="5"/>
  <c r="F41" i="5"/>
  <c r="F43" i="5"/>
  <c r="A205" i="1"/>
  <c r="A209" i="1"/>
  <c r="A213" i="1"/>
  <c r="A217" i="1"/>
  <c r="A221" i="1"/>
  <c r="A225" i="1"/>
  <c r="A227" i="1"/>
  <c r="A229" i="1"/>
  <c r="A231" i="1"/>
  <c r="A235" i="1"/>
  <c r="A237" i="1"/>
  <c r="A239" i="1"/>
  <c r="A241" i="1"/>
  <c r="A243" i="1"/>
  <c r="A245" i="1"/>
  <c r="A247" i="1"/>
  <c r="A249" i="1"/>
  <c r="A251" i="1"/>
  <c r="A253" i="1"/>
  <c r="A255" i="1"/>
  <c r="A257" i="1"/>
  <c r="A259" i="1"/>
  <c r="A261" i="1"/>
  <c r="A263" i="1"/>
  <c r="A265" i="1"/>
  <c r="A267" i="1"/>
  <c r="A269" i="1"/>
  <c r="A271" i="1"/>
  <c r="A273" i="1"/>
  <c r="A275" i="1"/>
  <c r="A277" i="1"/>
  <c r="R234" i="2"/>
  <c r="K281" i="2"/>
  <c r="O281" i="2"/>
  <c r="E281" i="2"/>
  <c r="L281" i="2"/>
  <c r="C282" i="2"/>
  <c r="H282" i="2"/>
  <c r="O282" i="2"/>
  <c r="A67" i="3"/>
  <c r="A75" i="3"/>
  <c r="P234" i="3"/>
  <c r="P281" i="3" s="1"/>
  <c r="M235" i="3"/>
  <c r="M281" i="3" s="1"/>
  <c r="I281" i="3"/>
  <c r="M282" i="3"/>
  <c r="Q83" i="4"/>
  <c r="N235" i="4"/>
  <c r="F282" i="4"/>
  <c r="N282" i="4"/>
  <c r="A203" i="1"/>
  <c r="A207" i="1"/>
  <c r="A211" i="1"/>
  <c r="A215" i="1"/>
  <c r="A219" i="1"/>
  <c r="A223" i="1"/>
  <c r="A233" i="1"/>
  <c r="R280" i="1"/>
  <c r="K282" i="2"/>
  <c r="L234" i="3"/>
  <c r="L282" i="3" s="1"/>
  <c r="H235" i="3"/>
  <c r="H281" i="3" s="1"/>
  <c r="P235" i="3"/>
  <c r="I235" i="4"/>
  <c r="I281" i="4" s="1"/>
  <c r="M281" i="4"/>
  <c r="R279" i="1"/>
  <c r="C281" i="2"/>
  <c r="F282" i="3"/>
  <c r="F281" i="3"/>
  <c r="J282" i="3"/>
  <c r="J281" i="3"/>
  <c r="J235" i="3"/>
  <c r="N235" i="3"/>
  <c r="N281" i="3" s="1"/>
  <c r="N234" i="3"/>
  <c r="N282" i="3" s="1"/>
  <c r="Q84" i="4"/>
  <c r="A78" i="4"/>
  <c r="G282" i="4"/>
  <c r="J235" i="4"/>
  <c r="J282" i="4" s="1"/>
  <c r="N281" i="4"/>
  <c r="G235" i="4"/>
  <c r="G281" i="4" s="1"/>
  <c r="K235" i="4"/>
  <c r="K282" i="4" s="1"/>
  <c r="O235" i="4"/>
  <c r="O282" i="4" s="1"/>
  <c r="G235" i="3"/>
  <c r="G281" i="3" s="1"/>
  <c r="K235" i="3"/>
  <c r="K282" i="3" s="1"/>
  <c r="O235" i="3"/>
  <c r="O282" i="3" s="1"/>
  <c r="K281" i="3"/>
  <c r="H235" i="4"/>
  <c r="H281" i="4" s="1"/>
  <c r="L235" i="4"/>
  <c r="L282" i="4" s="1"/>
  <c r="P235" i="4"/>
  <c r="P281" i="4" s="1"/>
  <c r="P282" i="4" l="1"/>
  <c r="P282" i="3"/>
  <c r="O281" i="4"/>
  <c r="L281" i="4"/>
  <c r="K281" i="4"/>
  <c r="I282" i="4"/>
  <c r="H282" i="4"/>
  <c r="J281" i="4"/>
  <c r="L281" i="3"/>
  <c r="G282" i="3"/>
  <c r="O281" i="3"/>
  <c r="H282" i="3"/>
</calcChain>
</file>

<file path=xl/sharedStrings.xml><?xml version="1.0" encoding="utf-8"?>
<sst xmlns="http://schemas.openxmlformats.org/spreadsheetml/2006/main" count="898" uniqueCount="452">
  <si>
    <t>ΑΤΟΜΙΚΗ ΒΑΘΜΟΛΟΓΙΑ ΠΑΝΕΛΛΗΝΙΟΥ ΠΡΩΤΑΘΛΗΜΑΤΟΣ  ΑΝΔΡΩΝ 2026</t>
  </si>
  <si>
    <t>ΤΟΥΡΝΟΥΑ - ΑΘΛΗΤΕΣ</t>
  </si>
  <si>
    <t>AGIOI APOSTOLOI OPEN  (0,1)</t>
  </si>
  <si>
    <t>BVA THE PARK OPEN (0,4)</t>
  </si>
  <si>
    <t>ENSO OPEN (0,2)</t>
  </si>
  <si>
    <t>4SPORTS by FLEXCAR OPEN (0,3)</t>
  </si>
  <si>
    <t>CHANIA  OPEN (0,8)</t>
  </si>
  <si>
    <t>THESSALONIKI GRAND SLAM (1,7)</t>
  </si>
  <si>
    <t>KARAVI OPEN (0,1)</t>
  </si>
  <si>
    <t>IOS MASTERS (2,0)</t>
  </si>
  <si>
    <t>MYTILENE OPEN (0,9)</t>
  </si>
  <si>
    <t>MARATHON MASTERS (1,4)</t>
  </si>
  <si>
    <t>FLORINA OPEN (0,3)</t>
  </si>
  <si>
    <t>RACHES OPEN (0,8)</t>
  </si>
  <si>
    <t>ATHENS FINALS (2,0)</t>
  </si>
  <si>
    <t>OLYMPIADA OPEN (0,3)</t>
  </si>
  <si>
    <t>Ellinikon K22 Finals (0,1)</t>
  </si>
  <si>
    <t>ΣΥΝΟΛΟ</t>
  </si>
  <si>
    <t>24-26/4/2026</t>
  </si>
  <si>
    <t>1-3/5/2026</t>
  </si>
  <si>
    <t>8-10/5/2026</t>
  </si>
  <si>
    <t>15-17/5/2026</t>
  </si>
  <si>
    <t>22-24/5/2026</t>
  </si>
  <si>
    <t>4-7/6/2026</t>
  </si>
  <si>
    <t>12-14/6/2026</t>
  </si>
  <si>
    <t>26-28/6/2026</t>
  </si>
  <si>
    <t>3-5/7/2026</t>
  </si>
  <si>
    <t>10-12/7/2026</t>
  </si>
  <si>
    <t>17-19/7/2026</t>
  </si>
  <si>
    <t>24-26/7/2026</t>
  </si>
  <si>
    <t>1-2/8/2026</t>
  </si>
  <si>
    <t>ΙΩΑΝΝΙΔΗΣ ΠΑΝΑΓΙΩΤΗΣ</t>
  </si>
  <si>
    <t>ΠΑΠΑΔΗΜΗΤΡΙΟΥ ΘΕΟΔΩΡΟΣ</t>
  </si>
  <si>
    <t>ΝΤΑΛΛΑΣ ΣΤΑΥΡΟΣ</t>
  </si>
  <si>
    <t>-</t>
  </si>
  <si>
    <t>ΧΑΤΖΗΝΙΚΟΛΑΟΥ ΔΗΜΗΤΡΙΟΣ</t>
  </si>
  <si>
    <t>ΚΟΛΑ ΑΝΤΙΟΛ</t>
  </si>
  <si>
    <t>RAMOS EDUARD</t>
  </si>
  <si>
    <t>ΣΕΜΙΤΕΚΟΛΟΣ ΠΑΝΑΓΙΩΤΗΣ</t>
  </si>
  <si>
    <t>ΤΣΙΓΑΡΙΔΑΣ ΧΡΗΣΤΟΣ</t>
  </si>
  <si>
    <t>ΤΕΡΖΟΓΛΟΥ ΓΙΩΡΓΟΣ</t>
  </si>
  <si>
    <t>ΚΑΡΥΚΑΣ ΑΝΤΩΝΗΣ</t>
  </si>
  <si>
    <t>ΚΑΛΙΟΖΗΣ ΔΗΜΗΤΡΗΣ</t>
  </si>
  <si>
    <t>ΝΙΩΠΑΣ ΔΗΜΗΤΡΙΟΣ</t>
  </si>
  <si>
    <t>ΒΕΝΙΟΣ ΚΩΝΣΤΑΝΤΙΝΟΣ</t>
  </si>
  <si>
    <t>ΣΙΔΕΡΗΣ ΕΥΑΓΓΕΛΟΣ</t>
  </si>
  <si>
    <t>ΚΑΛΟΥΔΗΣ ΣΠΥΡΙΔΩΝ</t>
  </si>
  <si>
    <t>ΡΕΣΤΕΜΗΣ ΤΡΙΑΝΤΑΦΥΛΛΟΣ</t>
  </si>
  <si>
    <t>ΚΟΝΤΟΣΤΑΘΗΣ ΑΝΔΡΕΑΣ</t>
  </si>
  <si>
    <t>ΚΕΣΚΙΝΗΣ ΚΥΡΙΑΚΟΣ</t>
  </si>
  <si>
    <t>ΚΑΦΟΥΡΟΣ ΙΑΚΩΒΟΣ</t>
  </si>
  <si>
    <t>ΜΑΝΙΑΤΗΣ ΝΙΚΟΛΑΟΣ</t>
  </si>
  <si>
    <t>ΠΑΠΑΔΑΚΟΣ ΑΙΑΝΤΑΣ</t>
  </si>
  <si>
    <t>ΚΑΠΙΡΗΣ ΘΩΜΑΣ</t>
  </si>
  <si>
    <t>ΚΑΝΤΙΩΤΗΣ ΓΙΩΡΓΟΣ</t>
  </si>
  <si>
    <t>ΒΑΡΒΙΤΣΙΩΤΗΣ ΠΕΤΡΟΣ</t>
  </si>
  <si>
    <t>ΜΠΕΣΔΕΚΗΣ ΜΑΡΙΟΣ</t>
  </si>
  <si>
    <t>ΣΑΛΙΤ ΓΑΒΡΙΗΛ-ΓΙΑΝΝΗΣ</t>
  </si>
  <si>
    <t>ΜΑΚΡΑΚΗΣ ΔΗΜΟΣ</t>
  </si>
  <si>
    <t>ΠΑΠΑΪΩΑΝΝΟΥ ΜΙΧΑΛΗΣ</t>
  </si>
  <si>
    <t>ΣΤΑΪΚΟΣ ΚΩΝΣΤΑΝΤΙΝΟΣ</t>
  </si>
  <si>
    <t>ΚΟΥΡΤΙΔΗΣ ΑΛΕΞΑΝΔΡΟΣ</t>
  </si>
  <si>
    <t>ΚΕΚΕΜΠΑΝΟΣ ΑΓΓΕΛΟΣ</t>
  </si>
  <si>
    <t>ΒΟΓΙΑΤΖΟΓΛΟΥ ΠΑΝΑΓΙΩΤΗΣ</t>
  </si>
  <si>
    <t>ΝΙΤΤΗΣ ΕΛΕΥΘΕΡΙΟΣ</t>
  </si>
  <si>
    <t>ΑΝΑΓΝΩΣΤΑΚΗΣ ΟΡΕΣΤΗΣ</t>
  </si>
  <si>
    <t>ΜΑΝΤΖΙΟΣ ΝΙΚΟΛΑΟΣ</t>
  </si>
  <si>
    <t>ΚΕΦΑΛΑΣ ΙΩΑΝΝΗΣ-JUAN</t>
  </si>
  <si>
    <t>ΣΑΓΚΙΝΕΤΟΣ ΕΜΜΑΝΟΥΗΛ</t>
  </si>
  <si>
    <t>ABRANTES SALEMA VALENTINO</t>
  </si>
  <si>
    <t>SANCER RAMIRO</t>
  </si>
  <si>
    <t>ΦΡΙΣΥΡΑΣ ΛΕΥΤΕΡΗΣ</t>
  </si>
  <si>
    <t>ΑΡΓΥΡΟΠΟΥΛΟΣ ΓΙΩΡΓΟΣ</t>
  </si>
  <si>
    <t>ΚΑΓΙΑΛΗΣ ΜΙΧΑΛΗΣ</t>
  </si>
  <si>
    <t>ΔΗΜΗΤΡΙΑΔΗΣ ΑΝΕΣΤΗΣ</t>
  </si>
  <si>
    <t>ΑΘΗΝΑΙΟΣ-ΑΘΗΝΑΔΗΣ ΛΟΥΚΑΣ</t>
  </si>
  <si>
    <t>ΓΙΑΝΝΟΠΟΥΛΟΣ ΘΑΝΟΣ</t>
  </si>
  <si>
    <t>BRYAN AVILA GUSTAVO OSCAR</t>
  </si>
  <si>
    <t>ΑΡΜΑΟΣ ΓΕΩΡΓΙΟΣ</t>
  </si>
  <si>
    <t>ΚΟΥΒΑΡΑΣ ΓΕΩΡΓΙΟΣ</t>
  </si>
  <si>
    <t>ΦΙΛΙΠΠΟΥ ΑΓΓΕΛΟΣ</t>
  </si>
  <si>
    <t>ΠΟΛΥΧΡΟΝΙΑΔΗΣ ΑΛΕΞΑΝΔΡΟΣ</t>
  </si>
  <si>
    <t>ΠΕΤΡΟΠΟΥΛΟΣ ΝΙΚΟΛΑΟΣ-ΛΕΩΝΙΔΑΣ</t>
  </si>
  <si>
    <t>MCCOLLUM SAMUEL</t>
  </si>
  <si>
    <t>ΜΟΝΙΑΚΗΣ ΓΕΩΡΓΙΟΣ</t>
  </si>
  <si>
    <t>ΒΙΟΛΑΡΗΣ ΚΩΝΣΤΑΝΤΙΝΟΣ</t>
  </si>
  <si>
    <t>BAUTISTA AMIEVA</t>
  </si>
  <si>
    <t>MACIEL BUENO</t>
  </si>
  <si>
    <t>ΔΗΜΟΠΟΥΛΟΣ ΝΙΚΟΛΑΟΣ</t>
  </si>
  <si>
    <t>ΠΑΣΧΑΛΕΡΗΣ ΓΙΩΡΓΟΣ</t>
  </si>
  <si>
    <t>ΝΟΙΚΟΚΥΡΑΚΗΣ ΑΓΓΕΛΟΣ</t>
  </si>
  <si>
    <t>ΚΑΠΟΔΙΣΤΡΙΑΣ ΜΑΡΙΟΣ</t>
  </si>
  <si>
    <t>ΤΖΙΟΥΜΑΚΑΣ ΣΤΥΛΙΑΝΟΣ</t>
  </si>
  <si>
    <t>ΤΣΑΛΙΚΙΑΝ ΑΤΑΜ</t>
  </si>
  <si>
    <t>ΜΕΛΕΝΓΚΟΥ ΟΡΕΣΤΗΣ</t>
  </si>
  <si>
    <t>ΓΙΑΝΝΟΥΛΗΣ ΓΕΩΡΓΙΟΣ</t>
  </si>
  <si>
    <t>ΛΑΝΙΤΗΣ ΜΑΡΚΟΣ-ΚΥΡΙΑΚΟΣ</t>
  </si>
  <si>
    <t>ΜΑΝΙΚΑΣ ΔΗΜΗΤΡΗΣ</t>
  </si>
  <si>
    <t>ΓΚΟΥΡΤΣΟΥΛΗΣ ΚΩΝΣΤΑΝΤΙΝΟΣ</t>
  </si>
  <si>
    <t>ΒΟΓΙΑΤΖΟΓΛΟΥ ΠΕΤΡΟΣ</t>
  </si>
  <si>
    <t>KOŠENINA ALAN</t>
  </si>
  <si>
    <t>ΜΠΑΜΠΑΛΗΣ ΚΩΝΣΤΑΝΤΙΝΟΣ</t>
  </si>
  <si>
    <t>ΛΕΙΒΑΔΑΡΟΣ ΙΩΑΝΝΗΣ</t>
  </si>
  <si>
    <t>ΓΑΛΛΙΑΚΗΣ ΑΡΗΣ</t>
  </si>
  <si>
    <t>ΠΑΠΟΥΛΙΑΣ ΟΡΕΣΤΗΣ</t>
  </si>
  <si>
    <t>ΠΗΛΙΤΣΗΣ ΠΕΤΡΟΣ</t>
  </si>
  <si>
    <t>ΠΑΠΑΝΙΚΟΛΑΟΥ ΓΕΩΡΓΙΟΣ</t>
  </si>
  <si>
    <t>ΤΖΙΟΥΜΑΚΑΣ ΓΙΩΡΓΟΣ</t>
  </si>
  <si>
    <t>ΠΑΠΑΔΗΜΗΤΡΙΟΥ ΘΩΜΑΣ</t>
  </si>
  <si>
    <t>ΠΑΛΑΙΟΧΩΡΙΝΟΣ ΑΠΟΣΤΟΛΟΣ</t>
  </si>
  <si>
    <t>ΧΡΥΣΟΣΤΟΜΟΥ ΑΝΝΙΝΟΣ</t>
  </si>
  <si>
    <t xml:space="preserve">ΣΑΒΒΙΔΗΣ ΑΛΕΞΗΣ </t>
  </si>
  <si>
    <t>ΓΚΟΥΒΑΚΗΣ ΒΕΡΓΟΣ</t>
  </si>
  <si>
    <t>ΡΑΠΤΗΣ ΛΕΩΝΙΔΑΣ</t>
  </si>
  <si>
    <t>ΜΑΝΟΥΚΟΣ ΜΑΡΙΟΣ</t>
  </si>
  <si>
    <t>ΠΑΠΑΝΔΡΟΠΟΥΛΟΣ ΧΡΗΣΤΟΣ</t>
  </si>
  <si>
    <t>ΤΕΡΖΟΓΛΟΥ ΣΠΥΡΟΣ</t>
  </si>
  <si>
    <t>ΚΑΛΙΑΝΙΔΗΣ ΓΙΩΡΓΟΣ</t>
  </si>
  <si>
    <t>ΦΩΛΙΑΣ ΚΥΡΙΑΚΟΣ</t>
  </si>
  <si>
    <t>ΜΑΝΔΗΛΑΡΗΣ ΣΤΕΦΑΝΟΣ</t>
  </si>
  <si>
    <t>ΚΟΓΚΑΛΙΔΗΣ Γ. ΚΩΝΣΤΑΝΤΙΝΟΣ</t>
  </si>
  <si>
    <t>ΛΑΚΙΟΣ ΧΡΙΣΤΟΔΟΥΛΟΣ</t>
  </si>
  <si>
    <t>ΣΩΝΑΚΗΣ ΑΝΑΣΤΑΣΙΟΣ</t>
  </si>
  <si>
    <t>ΜΠΑΤΖΙΛΗΣ ΚΩΝΣΤΑΝΤΙΝΟΣ</t>
  </si>
  <si>
    <t>ΓΕΩΡΓΟΥΣΟΠΟΥΛΟΣ ΓΕΩΡΓΙΟΣ</t>
  </si>
  <si>
    <t>ΜΠΕΛΟΥΜΠΑΣΗΣ ΓΕΩΡΓΙΟΣ</t>
  </si>
  <si>
    <t>ΟΙΚΟΝΟΜΟΠΟΥΛΟΣ ΝΙΚΟΛΑΟΣ-ΕΚΤΩΡ</t>
  </si>
  <si>
    <t>ΚΟΥΤΣΟΜΥΤΗΣ ΑΝΑΣΤΑΣΙΟΣ</t>
  </si>
  <si>
    <t>ΓΚΟΤΣΗΣ ΝΙΚΗΦΟΡΟΣ</t>
  </si>
  <si>
    <t>ΧΗΡΑΣ ΑΛΕΞΑΝΔΡΟΣ</t>
  </si>
  <si>
    <t>ΔΗΜΗΤΡΙΑΔΗΣ ΓΙΩΡΓΟΣ</t>
  </si>
  <si>
    <t>ΚΟΡΕΝ ΙΝΤΑΝ</t>
  </si>
  <si>
    <t>ΚΝΙΤΗΣ ΜΑΝΩΛΗΣ</t>
  </si>
  <si>
    <t>ΚΑΛΛΑΝΤΖΗΣ ΑΡΗΣ</t>
  </si>
  <si>
    <t>ΧΑΤΖΗΔΑΚΗΣ ΔΗΜΗΤΡΙΟΣ</t>
  </si>
  <si>
    <t>ΚΑΝΑΣ ΣΠΥΡΙΔΩΝ</t>
  </si>
  <si>
    <t>ΡΑΜΙΩΤΗΣ ΑΓΓΕΛΟΣ</t>
  </si>
  <si>
    <t>ΚΑΛΤΣΙΔΗΣ ΑΘΑΝΑΣΙΟΣ</t>
  </si>
  <si>
    <t>ΣΑΪΒΑΝΙΔΗΣ ΔΗΜΗΤΡΙΟΣ</t>
  </si>
  <si>
    <t>ΑΣΛΑΝΟΓΛΟΥ ΔΗΜΗΤΡΗΣ</t>
  </si>
  <si>
    <t>ΤΙΝΕΛΛΗΣ ΤΡΥΦΩΝ</t>
  </si>
  <si>
    <t>ΚΙΟΥΛΑΦΑΣ ΣΤΑΥΡΟΣ</t>
  </si>
  <si>
    <t>ΠΑΠΑΝΑΣΤΑΣΙΟΥ ΑΛΕΞΑΝΔΡΟΣ</t>
  </si>
  <si>
    <t xml:space="preserve">ΒΟΥΡΛΗΣ ΓΙΩΡΓΟΣ </t>
  </si>
  <si>
    <t>ΦΥΛΑΚΤΟΣ ΡΑΦΑΗΛ</t>
  </si>
  <si>
    <t>ΝΤΟΝΤΗΣ ΝΙΚΟΣ</t>
  </si>
  <si>
    <t>ΝΤΟΒΟΛΟΣ ΗΛΙΑΣ</t>
  </si>
  <si>
    <t>ΛΑΜΠΑΔΑΡΗΣ ΚΩΝΣΤΑΝΤΙΝΟΣ</t>
  </si>
  <si>
    <t>GJIDODAJ JULIAN</t>
  </si>
  <si>
    <t>ΚΑΠΑΤΟΣ ΓΕΡΑΣΙΜΟΣ</t>
  </si>
  <si>
    <t>ΚΑΜΠΟΥΡΗΣ ΓΙΩΡΓΟΣ</t>
  </si>
  <si>
    <t>DENNY MARTINEZ</t>
  </si>
  <si>
    <t>DARIEL ALBO</t>
  </si>
  <si>
    <t>ΔΑΣΕΝΑΚΗΣ ΓΙΩΡΓΟΣ</t>
  </si>
  <si>
    <t>ΚΑΠΟΔΙΣΤΡΙΑΣ ΑΘΑΝΑΣΙΟΣ</t>
  </si>
  <si>
    <t>ΑΥΓΕΡΙΝΙΔΗΣ ΠΑΥΛΟΣ</t>
  </si>
  <si>
    <t>ΟΥΖΟΥΝΗΣ ΜΙΧΑΛΗΣ</t>
  </si>
  <si>
    <t>ΛΕΚΚΑΣ ΧΡΗΣΤΟΣ</t>
  </si>
  <si>
    <t>ΤΣΟΛΑΚΗΣ ΣΤΑΜΑΤΙΟΣ</t>
  </si>
  <si>
    <t>ΣΕΡΓΑΚΗΣ ΑΠΟΣΤΟΛΗΣ</t>
  </si>
  <si>
    <t>ΑΥΛΩΝΙΤΗΣ ΦΙΛΙΠΠΟΣ-ΚΩΝΣΤΑΝΤΙΝΟΣ</t>
  </si>
  <si>
    <t>ΕΦΡΑΙΜΙΔΗΣ ΝΙΚΗΤΑΣ</t>
  </si>
  <si>
    <t>ΤΣΕΜΠΕΡΙΔΗΣ ΘΕΟΦΙΛΟΣ</t>
  </si>
  <si>
    <t>ΚΑΡΑΚΑΣΙΔΗΣ ΚΟΣΜΑΣ</t>
  </si>
  <si>
    <t>ΜΑΡΚΟΣ ΓΙΩΡΓΟΣ</t>
  </si>
  <si>
    <t>ΒΟΓΙΑΤΖΟΓΛΟΥ ΠΛΑΤΩΝ</t>
  </si>
  <si>
    <t>ΒΡΕΤΤΟΣ ΝΙΚΟΣ</t>
  </si>
  <si>
    <t>ΧΡΙΣΤΟΔΟΥΛΑΚΗΣ ΧΡΗΣΤΟΣ</t>
  </si>
  <si>
    <t>ΤΖΟΥΓΚΑΡΑΚΗΣ ΑΛΕΞΑΝΔΡΟΣ</t>
  </si>
  <si>
    <t>ΑΝΑΓΝΩΣΤΟΥ ΠΕΤΡΟΣ</t>
  </si>
  <si>
    <t>ΚΑΟΥΝΗΣ ΝΙΚΟΣ</t>
  </si>
  <si>
    <t>ΠΕΤΡΑΚΗΣ ΕΚΤΩΡΑΣ</t>
  </si>
  <si>
    <t>HAROLDAS SEMIOTA</t>
  </si>
  <si>
    <t>TITAS IVANAUSKAS</t>
  </si>
  <si>
    <t>ΚΟΚΚΑΣ ΕΥΘΥΜΙΟΣ-ΙΩΑΝΝΗΣ</t>
  </si>
  <si>
    <t>ΣΤΕΡΓΙΟΥ ΓΙΩΡΓΟΣ</t>
  </si>
  <si>
    <t>ΓΑΛΗΡΟΠΟΥΛΟΣ ΕΥΘΥΜΙΟΣ</t>
  </si>
  <si>
    <t>ΜΠΑΛΟΔΗΜΟΣ ΒΙΚΤΩΡΑΣ</t>
  </si>
  <si>
    <t>ΠΑΠΑΔΟΠΟΥΛΟΣ ΓΙΑΝΝΗΣ</t>
  </si>
  <si>
    <t>ΦΑΚΑΣ ΔΗΜΗΤΡΗΣ</t>
  </si>
  <si>
    <t>ΚΟΓΚΑΛΙΔΗΣ Ε. ΚΩΝΣΤΑΝΤΙΝΟΣ</t>
  </si>
  <si>
    <t>ΓΑΜΒΡΕΛΛΗΣ ΠΑΝΑΓΙΩΤΗΣ</t>
  </si>
  <si>
    <t>ΠΑΠΟΥΤΣΑΣ ΒΑΣΙΛΕΙΟΣ</t>
  </si>
  <si>
    <t>ΣΤΑΥΡΟΥΛΑΚΗΣ ΑΛΕΞΗΣ</t>
  </si>
  <si>
    <t>ΜΩΡΑΪΤΗΣ ΒΑΣΙΛΕΙΟΣ</t>
  </si>
  <si>
    <t>ΑΛΕΞΙΑΔΗΣ ΑΛΕΞΑΝΔΡΟΣ</t>
  </si>
  <si>
    <t>ΑΓΑΛΟΥ ΙΑΣΟΝΑΣ</t>
  </si>
  <si>
    <t>ΜΗΛΙΩΝΗΣ ΒΙΚΤΩΡΑΣ</t>
  </si>
  <si>
    <t>ΒΛΑΣΣΗΣ ΓΙΑΝΝΗΣ</t>
  </si>
  <si>
    <t>ΒΛΑΣΣΗΣ ΠΑΝΑΓΙΩΤΗΣ</t>
  </si>
  <si>
    <t>ΧΑΤΖΗΔΑΜΙΑΝΟΥ ΔΑΜΙΑΝΟΣ</t>
  </si>
  <si>
    <t>ΓΑΛΟΥΝΤΖΗΣ ΕΛΕΥΘΕΡΙΟΣ</t>
  </si>
  <si>
    <t>ΓΕΩΡΓΟΥΛΑΣ ΑΛΕΞΑΝΔΡΟΣ</t>
  </si>
  <si>
    <t>ΤΣΙΡΟΓΙΑΝΝΗΣ ΕΥΑΓΓΕΛΟΣ</t>
  </si>
  <si>
    <t>ΓΕΩΡΓΑΚΟΠΟΥΛΟΣ ΝΕΚΤΑΡΙΟΣ</t>
  </si>
  <si>
    <t>ΠΑΡΔΑΛΑΚΗΣ ΙΩΑΝΝΗΣ</t>
  </si>
  <si>
    <t>ΓΑΛΟΥΝΤΖΗΣ ΑΝΑΡΓΥΡΟΣ</t>
  </si>
  <si>
    <t>ΠΑΠΑΔΟΠΟΥΛΟΣ ΕΛΕΥΘΕΡΙΟΣ</t>
  </si>
  <si>
    <t>ΠΑΠΟΥΛΙΑΣ ΘΕΟΔΩΡΟΣ-ΠΑΝΑΓΙΩΤΗΣ</t>
  </si>
  <si>
    <t>ΠΑΠΑΔΟΣΗΦΟΣ ΙΩΣΗΦ</t>
  </si>
  <si>
    <t>ΦΩΛΙΑΣ ΛΕΥΤΕΡΗΣ</t>
  </si>
  <si>
    <t>ΤΕΛΙΟΣ ΙΑΣΟΝΑΣ</t>
  </si>
  <si>
    <t>ΚΑΡΑΠΕΤΣΑΣ ΑΘΑΝΑΣΙΟΣ</t>
  </si>
  <si>
    <t>ΑΡΑΠΑΝΤΩΝΗΣ-ΚΑΛΛΕΡΓΗΣ ΑΝΤΩΝΗΣ</t>
  </si>
  <si>
    <t>ΔΙΑΒΑΤΗΣ ΑΠΟΣΤΟΛΗΣ</t>
  </si>
  <si>
    <t>ΠΕΡΣΙΔΗΣ ΝΙΚΟΛΑΟΣ</t>
  </si>
  <si>
    <t>ΚΑΛΑΝΤΖΑΚΗΣ ΝΙΚΟΣ</t>
  </si>
  <si>
    <t>ΚΟΥΦΟΣ ΓΙΩΡΓΟΣ</t>
  </si>
  <si>
    <t>ΔΟΜΑΖΑΚΙΣ ΕΜΜΑΝΟΥΗΛ</t>
  </si>
  <si>
    <t xml:space="preserve">ΜΠΟΝΟΣ ΠΑΝΤΕΛΗΣ </t>
  </si>
  <si>
    <t>ΠΑΠΑΟΙΚΟΝΟΜΟΥ ΠΑΝΤΕΛΗΣ</t>
  </si>
  <si>
    <t>ΠΑΠΑΟΙΚΟΝΟΜΟΥ ΓΙΩΡΓΟΣ</t>
  </si>
  <si>
    <t>ΠΟΘΗΤΑΚΗΣ ΠΕΡΣΕΑΣ-ΚΩΝΣΤΑΝΤΙΝΟΣ</t>
  </si>
  <si>
    <t>ΜΑΡΑΓΚΟΥΔΑΚΗΣ ΝΙΚΟΛΑΟΣ</t>
  </si>
  <si>
    <t>ΓΚΑΝΕΤΣΟΣ ΑΝΑΣΤΑΣΙΟΣ</t>
  </si>
  <si>
    <t>ΚΟΡΑΚΑΚΗΣ ΠΕΤΡΟΣ</t>
  </si>
  <si>
    <t>ΑΝΕΣΤΗΣ ΙΩΑΝΝΗΣ</t>
  </si>
  <si>
    <t>ΡΟΖΗΣ ΗΛΙΑΣ-ΛΙΝΟΣ</t>
  </si>
  <si>
    <t>ΔΑΡΙΔΗΣ ΑΛΕΞΑΝΔΡΟΣ</t>
  </si>
  <si>
    <t>ΠΑΠΑΪΩΑΝΝΟΥ ΔΗΜΗΤΡΙΟΣ</t>
  </si>
  <si>
    <t>ΜΩΡΑΪΤΗΣ ΑΝΔΡΕΑΣ</t>
  </si>
  <si>
    <t>ΦΡΑΓΚΙΑΔΑΚΗΣ ΠΑΝΑΓΙΩΤΗΣ</t>
  </si>
  <si>
    <t>ΚΑΨΑΛΗΣ ΚΩΝΣΤΑΝΤΙΝΟΣ</t>
  </si>
  <si>
    <t>ΜΠΕΛΙΑΣ ΔΗΜΗΤΡΗΣ</t>
  </si>
  <si>
    <t>ΠΑΠΑΠΑΝΑΓΙΩΤΟΥ ΙΩΑΝΝΗΣ</t>
  </si>
  <si>
    <t>ΑΤΕΣΗΣ ΔΗΜΗΤΡΙΟΣ</t>
  </si>
  <si>
    <t>ΔΗΜΟΥ ΑΝΔΡΕΑΣ</t>
  </si>
  <si>
    <t>ΖΗΣΟΠΟΥΛΟΣ ΘΕΟΦΑΝΗΣ</t>
  </si>
  <si>
    <t>ΚΟΣΜΑΣ ΙΩΑΝΝΗΣ</t>
  </si>
  <si>
    <t>ΜΑΡΙΝΑΚΗΣ ΘΩΜΑΣ</t>
  </si>
  <si>
    <t xml:space="preserve">* Οι ομάδες που εμφανίζονται με αρνητικούς πόντους είναι λόγω της εγγραφής των προβλεπόμενων της προκήρυξης (αφαίρεση βαθμών του άρθρου 1.3, 1ης θέσης του τουρνουά για αδικαιολόγητη μη προσέλευση) </t>
  </si>
  <si>
    <t>ΑΤΟΜΙΚΗ ΒΑΘΜΟΛΟΓΙΑ ΠΑΝΕΛΛΗΝΙΟΥ ΠΡΩΤΑΘΛΗΜΑΤΟΣ  ΓΥΝΑΙΚΩΝ 2026</t>
  </si>
  <si>
    <t>ΤΟΥΡΝΟΥΑ / ΑΘΛΗΤΕΣ</t>
  </si>
  <si>
    <t>ΜΑΤΙΟΥ ΔΙΟΝΥΣΙΑ</t>
  </si>
  <si>
    <t>ΣΑΚΕΛΛΑΡΙΔΗ ΠΕΡΣΑ</t>
  </si>
  <si>
    <t>ΖΑΦΕΙΡΙΟΥ ΠΑΡΑΣΚΕΥΗ</t>
  </si>
  <si>
    <t>ΜΑΤΙΑΔΗ ΒΑΣΙΛΙΚΗ</t>
  </si>
  <si>
    <t>ΠΙΤΣΙΓΚΩΝΗ ΕΛΠΙΔΑ</t>
  </si>
  <si>
    <t>ΧΡΗΣΤΟΥ ΕΥΑΓΓΕΛΙΑ</t>
  </si>
  <si>
    <t>ΜΑΝΑΒΗ ΔΗΜΗΤΡΑ</t>
  </si>
  <si>
    <t>ΚΑΛΑΜΑΡΙΔΟΥ ΜΥΡΤΩ</t>
  </si>
  <si>
    <t>ΤΣΟΠΟΥΛΟΥ ΚΩΝΣΤΑΝΤΙΝΑ</t>
  </si>
  <si>
    <t>ΧΑΝΤΖΗ ΕΛΕΝΗ</t>
  </si>
  <si>
    <t>ΣΙΡΙΝΙΝΑ ΑΝΑΣΤΑΣΙΑ</t>
  </si>
  <si>
    <t>ΣΩΤΗΡΟΠΟΥΛΟΥ ΖΙΝΑ</t>
  </si>
  <si>
    <t>ΣΤΡΑΝΤΖΑΛΗ ΟΛΓΑ</t>
  </si>
  <si>
    <t>ΚΑΡΑΚΟΥ ΠΑΝΑΓΙΩΤΑ</t>
  </si>
  <si>
    <t>ΣΑΜΠΑΤΗ ΙΦΙΓΕΝΕΙΑ</t>
  </si>
  <si>
    <t>ΛΑΒΔΑ ΕΥΑΝΘΙΑ</t>
  </si>
  <si>
    <t>ΚΑΖΑΚΟΥ ΕΛΕΥΘΕΡΙΑ</t>
  </si>
  <si>
    <t>ΠΟΛΟΝΥΦΗ ΜΑΡΙΑ</t>
  </si>
  <si>
    <t>ΓΙΑΝΝΕΛΟΥ ΧΡΥΣΗ</t>
  </si>
  <si>
    <t>ΜΠΑΛΔΩΚΑ ΕΥΑΝΘΙΑ</t>
  </si>
  <si>
    <t>ΠΑΠΑΓΕΩΡΓΙΟΥ ΕΛΙΣΑΒΕΤ</t>
  </si>
  <si>
    <t>ΠΑΡΙΣΑΚΗ ΙΩΑΝΝΑ</t>
  </si>
  <si>
    <t>ΑΓΓΕΛΟΠΟΥΛΟΥ ΑΘΑΝΑΣΙΑ-ΑΝΑΪΣ</t>
  </si>
  <si>
    <t>ΜΠΕΤΡΟΣΙΑΝ ΣΥΛΒΙΑ</t>
  </si>
  <si>
    <t>ΝΤΕΣΤΑΚΟΥ ΑΡΓΥΡΩ-ΜΑΡΙΑ</t>
  </si>
  <si>
    <t>ΠΑΤΕΛΗ ΚΩΝΣΤΑΝΤΙΝΑ</t>
  </si>
  <si>
    <t>ΣΟΥΛΗ ΠΑΡΑΣΚΕΥΗ</t>
  </si>
  <si>
    <t>ΤΟΛΗ ΜΑΡΓΑΡΙΤΑ</t>
  </si>
  <si>
    <t>MALESIC ERIN</t>
  </si>
  <si>
    <t>ΘΑΛΑΣΣΙΝΟΥ-ΛΙΣΛΕΒΑΝΤ ΒΑΝΕΣΣΑ</t>
  </si>
  <si>
    <t>ΡΟΥΜΕΛΙΩΤΗ ΣΟΦΙΑ</t>
  </si>
  <si>
    <t>ΦΡΑΝΤΖΗ ΦΕΝΙΑ</t>
  </si>
  <si>
    <t>ΔΗΛΑΒΕΡΗ ΑΘΗΝΑ</t>
  </si>
  <si>
    <t>ΜΙΧΑΗΛΙΔΗ ΑΛΕΞΑΝΔΡΑ</t>
  </si>
  <si>
    <t>ΧΑΤΖΗΔΗΜΗΤΡΙΟΥ ΓΕΩΡΓΙΑ</t>
  </si>
  <si>
    <t>ΔΙΩΤΗ ΠΑΝΑΓΙΩΤΑ</t>
  </si>
  <si>
    <t>ANDREU BALADO DANIELA</t>
  </si>
  <si>
    <t>ΧΑΡΙΤΟΠΟΥΛΟΥ ΝΙΚΗ</t>
  </si>
  <si>
    <t>ΚΙΤΣΟΥ ΧΑΡΑ</t>
  </si>
  <si>
    <t>ΒΛΑΣΕΡΟΥ ΠΑΝΑΓΙΩΤΑ</t>
  </si>
  <si>
    <t>ΣΑΚΚΑ ΑΙΚΑΤΕΡΙΝΑ-ΕΛΕΝΗ</t>
  </si>
  <si>
    <t>ΚΟΥΚΟΥΔΙΤΣΚΑ ΚΥΡΙΑΚΗ</t>
  </si>
  <si>
    <t>ΧΙΝΤΗΡΑΚΗ ΑΙΚΑΤΕΡΙΝΗ</t>
  </si>
  <si>
    <t>ΑΛΕΞΟΓΛΟΥ ΕΛΕΝΗ</t>
  </si>
  <si>
    <t>NIKOLOVA DESISLAVA</t>
  </si>
  <si>
    <t>PAEZ VILCHES ELBA</t>
  </si>
  <si>
    <t>ΠΑΣΧΑΛΑΚΗ ΜΥΡΤΩ</t>
  </si>
  <si>
    <t>ΒΕΛΙΣΣΑΡΗ-ΛΥΜΠΕΡΙΔΟΥ ΜΑΡΙΑ</t>
  </si>
  <si>
    <t>ΚΟΥΡΤΙΔΟΥ ΒΟΥΛΗ</t>
  </si>
  <si>
    <t>ΦΡΑΓΚΙΟΥΔΑΚΗ ΟΥΡΑΝΙΑ</t>
  </si>
  <si>
    <t>ΔΟΒΡΟΥ ΕΛΕΝΗ</t>
  </si>
  <si>
    <t>ΓΕΩΡΓΙΑΔΟΥ ΜΑΡΙΑ-ΖΩΗ</t>
  </si>
  <si>
    <t>ΜΕΛΦΟΥ MΑΡΓΑΡΙΤΑ</t>
  </si>
  <si>
    <t>ΜΙΧΑΗΛΙΔΗ ΚΩΝΣΤΑΝΤΙΝΑ</t>
  </si>
  <si>
    <t>ΘΑΝΟΥ ΧΡΙΣΤΙΝΑ</t>
  </si>
  <si>
    <t>ΜΟΛΔΟΒΑΝΙΔΗ ΤΑΤΙΑΝΑ</t>
  </si>
  <si>
    <t>ΕΔΕΜΙΡΗ ΜΑΡΙΝΑ</t>
  </si>
  <si>
    <t>ΜΑΓΚΑΝΑΡΗ ΜΑΡΙΚΡΙΣΤΑ</t>
  </si>
  <si>
    <t>ΡΗΓΑΚΟΥ ΑΣΠΑΣΙΑ</t>
  </si>
  <si>
    <t>ΦΡΑΓΚΙΟΥΔΑΚΗ ΑΙΚΑΤΕΡΙΝΗ</t>
  </si>
  <si>
    <t>ΚΟΝΤΑΚΙΩΤΗ ΑΓΓΕΛΙΚΗ</t>
  </si>
  <si>
    <t>ΚΑΤΕΡΗ ΑΙΚΑΤΕΡΙΝΗ</t>
  </si>
  <si>
    <t>ΤΣΑΤΣΟΥ ΑΛΕΞΑΝΔΡΑ-ΒΑΣΙΛΙΚΗ</t>
  </si>
  <si>
    <t>ΤΣΑΤΣΟΥ ΣΠΥΡΙΔΟΥΛΑ</t>
  </si>
  <si>
    <t>ΜΑΡΓΑΡΙΤΟΠΟΥΛΟΥ ΜΑΡΙΑ</t>
  </si>
  <si>
    <t>ΜΑΡΓΑΡΙΤΟΠΟΥΛΟΥ ΓΡΗΓΟΡΙΑ-ΑΝΝΑ</t>
  </si>
  <si>
    <t>ΓΡΕΤΣΙΣΤΑ ΑΙΚΑΤΕΡΙΝΗ</t>
  </si>
  <si>
    <t>ΔΗΜΟΛΙΑΝΗ ΜΑΡΙΑΝΘΗ</t>
  </si>
  <si>
    <t>ΠΑΝΤΑΖΗ ΦΩΤΕΙΝΗ</t>
  </si>
  <si>
    <t>ΣΕΦΕΡΑΪ ΑΝΙΣΑ</t>
  </si>
  <si>
    <t>ΜΑΡΑΘΟΚΑΜΠΙΤΟΥ ΝΑΥΣΙΚΑ</t>
  </si>
  <si>
    <t>ΓΚΕΚΑ-ΣΕΡΠΕΤΣΙΔΑΚΗ ΠΑΝΔΩΡΑ</t>
  </si>
  <si>
    <t>ΔΗΜΗΤΡΙΑΔΟΥ ΣΑΡΡΑ</t>
  </si>
  <si>
    <t>ΜΑΡΑΘΟΚΑΜΠΙΤΟΥ ΣΟΦΙΑ</t>
  </si>
  <si>
    <t>ΜΥΣΤΙΔΟΥ ΜΑΡΙΑ</t>
  </si>
  <si>
    <t>ΜΑΡΙΑΤΟΥ-ΜΕΤΑΞΑ ΡΟΔΑΝΘΗ</t>
  </si>
  <si>
    <t>ΣΚΑΡΤΣΙΛΗ ΗΛΕΚΤΡΑ</t>
  </si>
  <si>
    <t>ΙΩΑΝΝΙΔΗ ΔΗΜΗΤΡΑ</t>
  </si>
  <si>
    <t>ΔΕΙΝΟΠΟΥΛΟΥ ΕΛΕΝΗ</t>
  </si>
  <si>
    <t>ΓΙΟΛΑ ΟΥΡΑΝΙΑ</t>
  </si>
  <si>
    <t>ΣΩΤΗΡΕΛΗ ΣΟΦΙΑ</t>
  </si>
  <si>
    <t>ΠΑΠΑΓΙΑΝΝΑΚΟΠΟΥΛΟΥ ΜΑΡΙΑ-ΕΛΑΤΗ</t>
  </si>
  <si>
    <t>ΕΣΙΠΕΚΟΓΛΟΥ ΟΛΥΜΠΙΑ</t>
  </si>
  <si>
    <t>ΠΟΛΥΝΟΠΟΥΛΟΥ ΙΩΑΝΝΑ-ΛΑΜΠΡΙΝΗ</t>
  </si>
  <si>
    <t>ΧΑΡΙΣΣΑΚΗ ΑΓΓΕΛΙΚΗ</t>
  </si>
  <si>
    <t>ΚΥΡΚΟΥ ΣΟΦΙΑ</t>
  </si>
  <si>
    <t>ΜΗΛΑΚΗ ΕΜΜΑΝΟΥΕΛΑ</t>
  </si>
  <si>
    <t>ΧΑΡΙΣΣΑΚΗ ΙΩΑΝΝΑ</t>
  </si>
  <si>
    <t>ΠΑΝΟΥ ΠΑΝΑΓΙΩΤΑ</t>
  </si>
  <si>
    <t>ΓΑΡΥΦΑΛΗ ΑΘΑΝΑΣΙΑ</t>
  </si>
  <si>
    <t>ΛΟΥΚΑ ΣΟΦΙΑ</t>
  </si>
  <si>
    <t>ΨΑΛΛΙΔΑ ΠΑΝΑΓΙΩΤΑ</t>
  </si>
  <si>
    <t>ΜΑΡΓΑΡΙΤΗ ΣΤΑΥΡΟΥΛΑ</t>
  </si>
  <si>
    <t>ΑΜΥΓΔΑΛΟΥ ANNA</t>
  </si>
  <si>
    <t>ΠΑΠΑΔΗΜΟΥ ΑΦΡΟΔΙΤΗ</t>
  </si>
  <si>
    <t>ΤΡΑΠΑΛΗ ΑΘΑΝΑΣΙΑ</t>
  </si>
  <si>
    <t>ΜΕΛΙΣΣΙΝΟΥ ΔΩΡΟΘΕΑ</t>
  </si>
  <si>
    <t>ΡΟΥΤΣΙ ΝΤΑΝΙΕΛΑ</t>
  </si>
  <si>
    <t>ΜΑΡΑΓΚΟΥ ΣΤΕΦΑΝΙΑ</t>
  </si>
  <si>
    <t>ΠΑΤΡΙΝΟΥ ΧΡΙΣΤΙΝΑ</t>
  </si>
  <si>
    <t>ΑΝΤΩΝΟΠΟΥΛΟΥ ΕΥΑΓΓΕΛΙΑ</t>
  </si>
  <si>
    <t>ΠΟΛΥΚΑΝΔΡΙΩΤΟΥ ΜΑΡΙΑ</t>
  </si>
  <si>
    <t>ΑΣΒΕΣΤΑ ΚΛΕΙΩ</t>
  </si>
  <si>
    <t>ΖΑΦΕΙΡΙΟΥ ΒΑΣΙΛΙΚΗ</t>
  </si>
  <si>
    <t>ΚΡΑΣΟΥΔΑΚΗ ΝΙΝΑ</t>
  </si>
  <si>
    <t>ΜΕΓΑΓΙΑΝΝΗ ΜΑΡΙΑ</t>
  </si>
  <si>
    <t>ΧΑΣΙΩΤΗ ΕΛΕΥΘΕΡΙΑ-ΑΓΓΕΛΙΚΗ</t>
  </si>
  <si>
    <t>ΑΛΤΙΝΗ ΚΑΤΕΡΙΝΑ</t>
  </si>
  <si>
    <t>ΔΑΜΑΣΚΗΝΟΥ ΝΑΤΑΛΙΑ</t>
  </si>
  <si>
    <t>ΚΑΣΟΥΡΙΔΟΥ ΑΛΕΞΑΝΔΡΑ</t>
  </si>
  <si>
    <t>ΠΑΡΛΑ ΑΝΘΗ</t>
  </si>
  <si>
    <t>ΜΕΝΕΞΕ ΗΛΙΑΝΗ</t>
  </si>
  <si>
    <t>ΚΟΤΕΟΓΛΟΥ ΜΑΡΙΑ</t>
  </si>
  <si>
    <t>ΚΟΥΣΕΚ ΕΛΠΙΔΑ</t>
  </si>
  <si>
    <t>ΠΑΠΑΚΩΣΤΑ ΔΗΜΗΤΡΑ</t>
  </si>
  <si>
    <t>ΧΡΗΣΤΟΥ ΕΛΠΙΝΙΚΗ</t>
  </si>
  <si>
    <t>ΛΙΟΛΙΟΥ ΔΕΣΠΟΙΝΑ</t>
  </si>
  <si>
    <t xml:space="preserve">ΣΑΡΗΓΙΑΝΝΙΔΟΥ ΣΤΑΥΡΟΥΛΑ </t>
  </si>
  <si>
    <t>ΒΑΣΙΛΑ ΕΥΑΓΓΕΛΙΑ</t>
  </si>
  <si>
    <t>ΒΑΚΑΛΟΠΟΥΛΟΥ ΜΥΡΣΙΝΗ</t>
  </si>
  <si>
    <t>ΝΑΤΣΗ ΕΥΑΓΓΕΛΙΑ</t>
  </si>
  <si>
    <t>ΔΟΚΟΠΟΥΛΟΥ ΛΗΤΩ</t>
  </si>
  <si>
    <t>ΔΗΜΗΤΡΑΣΟΠΟΥΛΟΥ ΑΛΕΞΑΝΔΡΑ</t>
  </si>
  <si>
    <t>ΤΣΙΤΡΕΛΗ ΧΡΙΣΤΙΝΑ</t>
  </si>
  <si>
    <t>ΑΝΔΡΕΑΔΗ ΑΝΤΙΓΟΝΗ</t>
  </si>
  <si>
    <t>ΜΠΟΥΦΙΚΟΥ ΓΡΑΜΜΑΤΙΑ</t>
  </si>
  <si>
    <t>ΛΑΓΑΚΗ ΓΑΡΥΦΑΛΛΙΑ</t>
  </si>
  <si>
    <t>ΚΑΚΛΑΜΑΝΟΥ ΕΙΡΗΝΗ</t>
  </si>
  <si>
    <t>ΜΠΕΚΙΡΟΓΛΟΥ ΓΚΙΟΥΛ-ΕΙΡΗΝΗ</t>
  </si>
  <si>
    <t>ΒΕΡΝΑΡΔΑΚΗ ΑΝΝΑ-ΜΑΡΙΑ</t>
  </si>
  <si>
    <t>ΓΕΩΡΓΟΥΣΗ ΒΙΡΓΙΝΙΑ</t>
  </si>
  <si>
    <t>ΕΥΑΓΓΕΛΟΥ ΝΕΦΕΛΗ</t>
  </si>
  <si>
    <t>ΤΣΟΥΡΜΑ ΧΡΥΣΑΥΓΗ</t>
  </si>
  <si>
    <t>KOLACEK SVENJA</t>
  </si>
  <si>
    <t>ΕΛΕΥΘΕΡΟΥ ΑΙΚΑΤΕΡΙΝΗ</t>
  </si>
  <si>
    <t>ΒΙΟΛΑΝΤΖΗ ΧΡΥΣΑΝΘΗ</t>
  </si>
  <si>
    <t>ΚΑΡΑΒΑΣΙΛΗ ΚΑΤΕΡΙΝΑ</t>
  </si>
  <si>
    <t>ΜΑΝΙΟΥ ΕΛΙΣΑΒΕΤ</t>
  </si>
  <si>
    <t>ΣΚΕΥΑΚΗ ΧΡΙΣΤΙΝΑ</t>
  </si>
  <si>
    <t>ΚΥΡΙΑΚΟΠΟΥΛΟΥ MΑΡΙΑ-ΦΙΛΙΠΠΑ</t>
  </si>
  <si>
    <t>ΜΠΡΟΖΙ ΚΑΜΙΛΑ</t>
  </si>
  <si>
    <t>ΚΑΡΑΧΑΛΙΟΥ ΕΛΕΝΗ</t>
  </si>
  <si>
    <t>ΜΟΥΖΑΚΙΑΡΗ ΜΑΡΙΑ</t>
  </si>
  <si>
    <t>ΣΤΑΘΗ ΝΙΚΟΛΕΤΑ</t>
  </si>
  <si>
    <t>ΣΑΜΑΡΑ ΧΡΥΣΟΥΛΑ</t>
  </si>
  <si>
    <t>ΣΤΑΥΓΙΑΝΟΥΔΑΚΗ ΒΑΣΙΛΙΚΗ</t>
  </si>
  <si>
    <t>ΣΤΑΥΓΙΑΝΟΥΔΑΚΗ ΛΗΔΑ</t>
  </si>
  <si>
    <t>ΤΡΥΦΩΝΑ ΕΛΕΝΗ</t>
  </si>
  <si>
    <t>ΑΣΤΡΑ ΜΑΡΙΑ</t>
  </si>
  <si>
    <t>ΠΑΣΧΟΥ ΝΑΤΑΛΙΑ</t>
  </si>
  <si>
    <t>ΧΑΒΙΑΡΑ ΛΙΑ</t>
  </si>
  <si>
    <t>ΜΑΡΩΣΗ ΚΕΛΛΥ</t>
  </si>
  <si>
    <t>ΜΕΪΜΑΡΗ ΜΑΡΙΑ</t>
  </si>
  <si>
    <t>ΣΥΦΙΑΝΟΥ ΒΙΡΓΙΝΙΑ</t>
  </si>
  <si>
    <t>ΠΑΠΑΪΩΑΝΝΟΥ ΜΑΡΙΑΝΝΑ</t>
  </si>
  <si>
    <t>ΜΥΓΔΑΛΗ ΕΥΔΟΚΙΑ</t>
  </si>
  <si>
    <t>ΒΑΡΒΕΡΗ ΙΩΑΝΝΑ</t>
  </si>
  <si>
    <t>ΜΕΡΚΟΥΡΗ ΔΗΜΗΤΡΑ-ΛΥΔΙΑ</t>
  </si>
  <si>
    <t>ΛΑΖΑΡΗ ΑΝΝΑ</t>
  </si>
  <si>
    <t>ΧΑΡΙΤΩΝΙΔΗ ΙΩΑΝΝΑ</t>
  </si>
  <si>
    <t>ΑΛΙΦΕΡΗ ΕΥΘΑΛΙΑ</t>
  </si>
  <si>
    <t>ΚΑΛΟΓΕΡΑΚΗ ΔΕΣΠΟΙΝΑ</t>
  </si>
  <si>
    <t>ΠΑΠΑΔΟΠΟΥΛΟΥ ΘΕΟΔΩΡΑ</t>
  </si>
  <si>
    <t>ΤΣΙΓΚΑ ΦΡΑΤΖΕΣΚΑ</t>
  </si>
  <si>
    <t>ΠΑΝΑΓΙΩΤΟΥ ΜΑΡΙΑ-ΝΕΦΕΛΗ</t>
  </si>
  <si>
    <t>ΒΑΣΙΛΕΙΑΔΟΥ ΜΑΡΙΝΑ</t>
  </si>
  <si>
    <t>ΣΤΑΙΚΟΣ ΚΩΝΣΤΑΝΤΙΝΟΣ</t>
  </si>
  <si>
    <t>ΚΑΛΙΑΝΙΔΗΣ ΓΕΩΡΓΙΟΣ</t>
  </si>
  <si>
    <t>ΦΡΑΓΚΙΟΥΔΑΚΗ ΚΑΤΕΡΙΝΑ</t>
  </si>
  <si>
    <t>ΜΕΛΦΟΥ ΜΑΡΓΑΡΙΤΑ</t>
  </si>
  <si>
    <t>ΠΟΛΥΝΟΠΟΥΛΟΥ ΙΩΑΝΝΑ</t>
  </si>
  <si>
    <t>ΣΕΦΕΡΑΙ ΑΝΙΣΑ</t>
  </si>
  <si>
    <t>ΠΑΝΕΛΛΗΝΙΟ ΠΡΩΤΑΘΛΗΜΑ BEACH VOLLEY 2026 - TOURNAMENT  (XX -XX MONTH) - ENTRY LIST MEN</t>
  </si>
  <si>
    <t>ΑΘΛΗΤΗΣ 1</t>
  </si>
  <si>
    <t>ΑΘΛΗΤΗΣ 2</t>
  </si>
  <si>
    <t>ΠΑΝΕΛΛΗΝΙΟ ΠΡΩΤΑΘΛΗΜΑ BEACH VOLLEY 2026 - TOURNAMENT  (XX -XX MONTH) - ENTRY LIST WOMEN</t>
  </si>
  <si>
    <t>ΑΘΛΗΤΡΙΑ 1</t>
  </si>
  <si>
    <t>ΑΘΛΗΤΡΙΑ 2</t>
  </si>
  <si>
    <t>Πώς λειτουργούν τα φύλλα MEN_ENTRY / WOMEN_ENTRY</t>
  </si>
  <si>
    <t>Σκοπός</t>
  </si>
  <si>
    <t>Τα φύλλα MEN_ENTRY και WOMEN_ENTRY είναι η λίστα δηλώσεων συμμετοχής για το τουρνουά. Γράφεις απλά τα ονόματα κάθε ζευγαριού, και το φύλλο υπολογίζει αυτόματα το σύνολο βαθμών seeding τους, αντλώντας τους βαθμούς από το φύλλο MEN (ή WOMEN) αυτού του βιβλίου. Τα δύο φύλλα δουλεύουν με τον ίδιο ακριβώς τρόπο — το ένα για άντρες, το άλλο για γυναίκες.</t>
  </si>
  <si>
    <t>Διάταξη στηλών</t>
  </si>
  <si>
    <t>Στήλη</t>
  </si>
  <si>
    <t>Περιεχόμενο</t>
  </si>
  <si>
    <t>Τι κάνεις εσύ</t>
  </si>
  <si>
    <t>B</t>
  </si>
  <si>
    <t>Αθλητής/Αθλήτρια 1</t>
  </si>
  <si>
    <t>Πληκτρολογείς το όνομα</t>
  </si>
  <si>
    <t>C</t>
  </si>
  <si>
    <t>Αθλητής/Αθλήτρια 2</t>
  </si>
  <si>
    <t>D</t>
  </si>
  <si>
    <t>Βαθμοί σεζόν — αθλητής 1</t>
  </si>
  <si>
    <t>Τίποτα — υπολογίζεται μόνο του</t>
  </si>
  <si>
    <t>E</t>
  </si>
  <si>
    <t>Βαθμοί σεζόν — αθλητής 2</t>
  </si>
  <si>
    <t>F</t>
  </si>
  <si>
    <t>ΣΥΝΟΛΟ (seeding)</t>
  </si>
  <si>
    <t>Σε αυτό το αρχείο υπάρχει ΜΟΝΟ ένα φύλλο βαθμολογίας ανά κατηγορία (MEN ή WOMEN) — δεν υπάρχει ξεχωριστό "περσινό" και "φετινό" σαν το SEEDING_NO_MASTER_GENERIC. Το D και το E ψάχνουν και τα δύο στο ίδιο φύλλο (MEN ή WOMEN), το ένα για τον 1ο αθλητή και το άλλο για τον 2ο.</t>
  </si>
  <si>
    <t>Υπάρχουν έτοιμες, προσυμπληρωμένες γραμμές (τύποι) από τη γραμμή 4 έως τη γραμμή 49 — δηλαδή χωράνε έως 46 ζευγάρια χωρίς να χρειαστεί να προσθέσεις κάτι.</t>
  </si>
  <si>
    <t>Πώς υπολογίζονται αυτόματα οι βαθμοί</t>
  </si>
  <si>
    <t>Κάθε κελί D, E ψάχνει το όνομα του αθλητή στη στήλη Β του φύλλου MEN (ή WOMEN) και φέρνει το ΣΥΝΟΛΟ του από τη στήλη R της ίδιας γραμμής. Το F είναι απλά =SUM(D:E) — το άθροισμα και των δύο.</t>
  </si>
  <si>
    <t>Ο τύπος (παράδειγμα από το κελί D4):</t>
  </si>
  <si>
    <t>Σε απλά ελληνικά: "βρες το όνομα του B4 στη στήλη Β του MEN, και φέρε μου το ΣΥΝΟΛΟ του από τη στήλη R της ίδιας γραμμής. Αν δεν το βρεις πουθενά, γράψε 0."</t>
  </si>
  <si>
    <t>Τι σημαίνει το "0"</t>
  </si>
  <si>
    <t>Αν ένα κελί D/E δείχνει 0, δεν είναι σφάλμα — σημαίνει ένα από τα δύο:</t>
  </si>
  <si>
    <t>1.  Ο αθλητής δεν έχει καθόλου βαθμούς φέτος (π.χ. νέος αθλητής), οπότε λογικά παίρνει 0.</t>
  </si>
  <si>
    <t>2.  Το όνομα δεν ταιριάζει ακριβώς με αυτό που υπάρχει στο φύλλο MEN/WOMEN (π.χ. διαφορετική ορθογραφία, extra κενό, τόνος).</t>
  </si>
  <si>
    <t>Αν περιμένεις μη-μηδενική τιμή αλλά βλέπεις 0, πρώτο πράγμα να ελέγξεις: γράψε το όνομα ακριβώς όπως εμφανίζεται στο φύλλο MEN/WOMEN (αντιγραφή-επικόλληση είναι το ασφαλέστερο).</t>
  </si>
  <si>
    <t>Πώς να προσθέσεις ένα νέο ζευγάρι</t>
  </si>
  <si>
    <t>1.  Πήγαινε στην πρώτη κενή γραμμή (ή σε οποιαδήποτε γραμμή έχει ήδη τον τύπο, από τη 4 έως τη 49).</t>
  </si>
  <si>
    <t>2.  Γράψε το όνομα του 1ου αθλητή στη στήλη B και του 2ου στη στήλη C.</t>
  </si>
  <si>
    <t>3.  Αυτό είναι όλο — τα D, E, F θα γεμίσουν μόνα τους.</t>
  </si>
  <si>
    <t>Αν χρειαστείς περισσότερες από 46 γραμμές, αντέγραψε μία υπάρχουσα γραμμή (π.χ. τη 49) και κάνε Insert Copied Cells στη θέση που θέλεις, ώστε να έρθουν μαζί οι τύποι και η μορφοποίηση.</t>
  </si>
  <si>
    <t>Τι να ΜΗΝ κάνεις</t>
  </si>
  <si>
    <t>•  Μην πληκτρολογείς τιμές απευθείας στις στήλες D, E, F — θα σβήσεις τον τύπο και θα σταματήσουν να ενημερώνονται αυτόματα.</t>
  </si>
  <si>
    <t>•  Μην αλλάζεις τα ονόματα των φύλλων MEN, WOMEN — οι τύποι τα αναφέρουν ονομαστικά και θα σπάσουν.</t>
  </si>
  <si>
    <t>Πώς χρησιμοποιείται το ΣΥΝΟΛΟ (στήλη F)</t>
  </si>
  <si>
    <t>Το ΣΥΝΟΛΟ στη στήλη F είναι ο αριθμός seeding του κάθε ζευγαριού — το άθροισμα βαθμών και των δύο αθλητών από το φύλλο MEN/WOMEN. Ταξινομώντας τη λίστα κατά τη στήλη F (φθίνουσα) παίρνεις την τελική σειρά κατάταξης (seeding) για τη διοργάνωση.</t>
  </si>
  <si>
    <t>ΒΑΘΜ 20YY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</si>
</sst>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 [$€-408]_-;\-* #,##0.00\ [$€-408]_-;_-* \-??\ [$€-408]_-;_-@_-"/>
  </numFmts>
  <fonts count="23" x14ac:knownFonts="1">
    <font>
      <sz val="11"/>
      <color theme="1"/>
      <name val="Calibri"/>
      <charset val="1"/>
    </font>
    <font>
      <sz val="10"/>
      <name val="Arial"/>
      <family val="2"/>
      <charset val="161"/>
    </font>
    <font>
      <sz val="12"/>
      <name val="Calibri"/>
      <family val="2"/>
      <charset val="161"/>
    </font>
    <font>
      <b/>
      <sz val="16"/>
      <color theme="1"/>
      <name val="Calibri"/>
      <family val="2"/>
      <charset val="161"/>
    </font>
    <font>
      <sz val="8"/>
      <name val="Calibri"/>
      <family val="2"/>
      <charset val="161"/>
    </font>
    <font>
      <sz val="11"/>
      <name val="Calibri"/>
      <family val="2"/>
      <charset val="161"/>
    </font>
    <font>
      <sz val="10"/>
      <name val="Calibri"/>
      <family val="2"/>
      <charset val="161"/>
    </font>
    <font>
      <sz val="14"/>
      <name val="Calibri"/>
      <family val="2"/>
      <charset val="161"/>
    </font>
    <font>
      <sz val="12"/>
      <color theme="1"/>
      <name val="Calibri"/>
      <family val="2"/>
      <charset val="161"/>
    </font>
    <font>
      <sz val="11"/>
      <name val="Arial"/>
      <family val="2"/>
      <charset val="161"/>
    </font>
    <font>
      <sz val="11"/>
      <color theme="1"/>
      <name val="Calibri"/>
      <family val="2"/>
      <charset val="161"/>
    </font>
    <font>
      <sz val="18"/>
      <color rgb="FF000000"/>
      <name val="Calibri"/>
      <family val="2"/>
      <charset val="161"/>
    </font>
    <font>
      <sz val="12"/>
      <color rgb="FF000000"/>
      <name val="Calibri"/>
      <family val="2"/>
      <charset val="161"/>
    </font>
    <font>
      <b/>
      <sz val="16"/>
      <name val="Calibri"/>
      <charset val="1"/>
    </font>
    <font>
      <b/>
      <sz val="13"/>
      <color rgb="FF1F4E78"/>
      <name val="Calibri"/>
      <charset val="1"/>
    </font>
    <font>
      <sz val="11"/>
      <name val="Calibri"/>
      <charset val="1"/>
    </font>
    <font>
      <b/>
      <sz val="11"/>
      <name val="Calibri"/>
      <charset val="1"/>
    </font>
    <font>
      <b/>
      <sz val="12"/>
      <name val="Calibri"/>
      <charset val="1"/>
    </font>
    <font>
      <sz val="10.5"/>
      <name val="Consolas"/>
      <charset val="1"/>
    </font>
    <font>
      <i/>
      <sz val="11"/>
      <color rgb="FFC00000"/>
      <name val="Calibri"/>
      <charset val="1"/>
    </font>
    <font>
      <b/>
      <sz val="12"/>
      <color indexed="10"/>
      <name val="Calibri"/>
      <family val="2"/>
      <charset val="161"/>
    </font>
    <font>
      <sz val="11"/>
      <color rgb="FF000000"/>
      <name val="Calibri"/>
      <family val="2"/>
      <charset val="161"/>
    </font>
    <font>
      <b/>
      <sz val="12"/>
      <color rgb="FF000080"/>
      <name val="Calibri"/>
      <family val="2"/>
      <charset val="161"/>
    </font>
  </fonts>
  <fills count="4">
    <fill>
      <patternFill patternType="none"/>
    </fill>
    <fill>
      <patternFill patternType="gray125"/>
    </fill>
    <fill>
      <patternFill patternType="solid">
        <fgColor rgb="FFD9E1F2"/>
        <bgColor rgb="FFF2F2F2"/>
      </patternFill>
    </fill>
    <fill>
      <patternFill patternType="solid">
        <fgColor rgb="FFF2F2F2"/>
        <bgColor rgb="FFFFFFCC"/>
      </patternFill>
    </fill>
  </fills>
  <borders count="14">
    <border>
      <left/>
      <right/>
      <top/>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top/>
      <bottom/>
      <diagonal/>
    </border>
    <border>
      <left/>
      <right/>
      <top/>
      <bottom style="hair">
        <color auto="1"/>
      </bottom>
      <diagonal/>
    </border>
    <border>
      <left style="hair">
        <color auto="1"/>
      </left>
      <right style="hair">
        <color auto="1"/>
      </right>
      <top/>
      <bottom style="hair">
        <color auto="1"/>
      </bottom>
      <diagonal/>
    </border>
    <border>
      <left style="hair">
        <color auto="1"/>
      </left>
      <right/>
      <top/>
      <bottom style="hair">
        <color auto="1"/>
      </bottom>
      <diagonal/>
    </border>
    <border>
      <left style="hair">
        <color auto="1"/>
      </left>
      <right style="hair">
        <color auto="1"/>
      </right>
      <top style="hair">
        <color auto="1"/>
      </top>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thin">
        <color auto="1"/>
      </right>
      <top style="thin">
        <color auto="1"/>
      </top>
      <bottom style="thin">
        <color auto="1"/>
      </bottom>
      <diagonal/>
    </border>
    <border>
      <left style="thin">
        <color rgb="FFB7B7B7"/>
      </left>
      <right style="thin">
        <color rgb="FFB7B7B7"/>
      </right>
      <top style="thin">
        <color rgb="FFB7B7B7"/>
      </top>
      <bottom style="thin">
        <color rgb="FFB7B7B7"/>
      </bottom>
      <diagonal/>
    </border>
  </borders>
  <cellStyleXfs count="2">
    <xf numFmtId="0" fontId="0" fillId="0" borderId="0"/>
    <xf numFmtId="0" fontId="1" fillId="0" borderId="0"/>
  </cellStyleXfs>
  <cellXfs count="59">
    <xf numFmtId="0" fontId="0" fillId="0" borderId="0" xfId="0"/>
    <xf numFmtId="0" fontId="2" fillId="0" borderId="1" xfId="0" applyFont="1" applyBorder="1" applyAlignment="1">
      <alignment horizontal="center" vertical="center"/>
    </xf>
    <xf numFmtId="0" fontId="2" fillId="0" borderId="1" xfId="0" applyFont="1" applyBorder="1" applyAlignment="1">
      <alignment vertical="center"/>
    </xf>
    <xf numFmtId="0" fontId="2" fillId="0" borderId="2" xfId="0" applyFont="1" applyBorder="1" applyAlignment="1">
      <alignment vertical="center"/>
    </xf>
    <xf numFmtId="0" fontId="2" fillId="0" borderId="0" xfId="0" applyFont="1" applyAlignment="1">
      <alignment vertical="center"/>
    </xf>
    <xf numFmtId="0" fontId="4" fillId="0" borderId="1" xfId="0" applyFont="1" applyBorder="1" applyAlignment="1">
      <alignment horizontal="center" vertical="center" wrapText="1"/>
    </xf>
    <xf numFmtId="15" fontId="4" fillId="0" borderId="1" xfId="0" applyNumberFormat="1" applyFont="1" applyBorder="1" applyAlignment="1">
      <alignment horizontal="center" vertical="center" wrapText="1"/>
    </xf>
    <xf numFmtId="0" fontId="5" fillId="0" borderId="0" xfId="0" applyFont="1" applyAlignment="1">
      <alignment horizontal="center" vertical="center"/>
    </xf>
    <xf numFmtId="0" fontId="6" fillId="0" borderId="0" xfId="0" applyFont="1" applyAlignment="1">
      <alignment horizontal="center" vertical="center"/>
    </xf>
    <xf numFmtId="0" fontId="2" fillId="0" borderId="1" xfId="0" applyFont="1" applyBorder="1" applyAlignment="1">
      <alignment horizontal="left" vertical="center"/>
    </xf>
    <xf numFmtId="0" fontId="7" fillId="0" borderId="0" xfId="0" applyFont="1" applyAlignment="1">
      <alignment horizontal="center" vertical="center"/>
    </xf>
    <xf numFmtId="0" fontId="8" fillId="0" borderId="1" xfId="0" applyFont="1" applyBorder="1" applyAlignment="1">
      <alignment horizontal="center" vertical="center"/>
    </xf>
    <xf numFmtId="0" fontId="9" fillId="0" borderId="1" xfId="0" applyFont="1" applyBorder="1" applyAlignment="1" applyProtection="1">
      <alignment vertical="center" wrapText="1"/>
      <protection locked="0"/>
    </xf>
    <xf numFmtId="0" fontId="5" fillId="0" borderId="0" xfId="0" applyFont="1" applyAlignment="1">
      <alignment vertical="center"/>
    </xf>
    <xf numFmtId="0" fontId="5" fillId="0" borderId="1" xfId="0" applyFont="1" applyBorder="1" applyAlignment="1" applyProtection="1">
      <alignment vertical="center" wrapText="1"/>
      <protection locked="0"/>
    </xf>
    <xf numFmtId="0" fontId="2" fillId="0" borderId="2" xfId="0" applyFont="1" applyBorder="1" applyAlignment="1">
      <alignment horizontal="center" vertical="center"/>
    </xf>
    <xf numFmtId="0" fontId="8" fillId="0" borderId="0" xfId="0" applyFont="1" applyAlignment="1">
      <alignment vertical="center"/>
    </xf>
    <xf numFmtId="0" fontId="10" fillId="0" borderId="0" xfId="0" applyFont="1"/>
    <xf numFmtId="0" fontId="8" fillId="0" borderId="0" xfId="0" applyFont="1" applyAlignment="1">
      <alignment horizontal="left" vertical="top" wrapText="1"/>
    </xf>
    <xf numFmtId="0" fontId="8" fillId="0" borderId="2" xfId="0" applyFont="1" applyBorder="1" applyAlignment="1">
      <alignment vertical="center"/>
    </xf>
    <xf numFmtId="0" fontId="8" fillId="0" borderId="2" xfId="0" applyFont="1" applyBorder="1" applyAlignment="1">
      <alignment horizontal="center" vertical="center"/>
    </xf>
    <xf numFmtId="0" fontId="8" fillId="0" borderId="1" xfId="0" applyFont="1" applyBorder="1" applyAlignment="1">
      <alignment vertical="center" wrapText="1"/>
    </xf>
    <xf numFmtId="0" fontId="8" fillId="0" borderId="3" xfId="0" applyFont="1" applyBorder="1" applyAlignment="1">
      <alignment vertical="center"/>
    </xf>
    <xf numFmtId="0" fontId="4" fillId="0" borderId="5" xfId="0" applyFont="1" applyBorder="1" applyAlignment="1">
      <alignment horizontal="center" vertical="center" wrapText="1"/>
    </xf>
    <xf numFmtId="0" fontId="2" fillId="0" borderId="3" xfId="0" applyFont="1" applyBorder="1" applyAlignment="1">
      <alignment vertical="center"/>
    </xf>
    <xf numFmtId="0" fontId="10" fillId="0" borderId="1" xfId="0" applyFont="1" applyBorder="1" applyAlignment="1">
      <alignment horizontal="left" vertical="center"/>
    </xf>
    <xf numFmtId="0" fontId="9" fillId="0" borderId="1" xfId="1" applyFont="1" applyBorder="1" applyAlignment="1" applyProtection="1">
      <alignment vertical="center" wrapText="1"/>
      <protection locked="0"/>
    </xf>
    <xf numFmtId="0" fontId="8" fillId="0" borderId="1" xfId="0" applyFont="1" applyBorder="1" applyAlignment="1">
      <alignment vertical="center"/>
    </xf>
    <xf numFmtId="0" fontId="8" fillId="0" borderId="7" xfId="0" applyFont="1" applyBorder="1" applyAlignment="1">
      <alignment vertical="center"/>
    </xf>
    <xf numFmtId="0" fontId="4" fillId="0" borderId="7" xfId="0" applyFont="1" applyBorder="1" applyAlignment="1">
      <alignment horizontal="center" vertical="center"/>
    </xf>
    <xf numFmtId="2" fontId="2" fillId="0" borderId="1" xfId="0" applyNumberFormat="1" applyFont="1" applyBorder="1" applyAlignment="1">
      <alignment horizontal="center" vertical="center"/>
    </xf>
    <xf numFmtId="164" fontId="2" fillId="0" borderId="1" xfId="0" applyNumberFormat="1" applyFont="1" applyBorder="1" applyAlignment="1">
      <alignment horizontal="center" vertical="center"/>
    </xf>
    <xf numFmtId="164" fontId="8" fillId="0" borderId="1" xfId="0" applyNumberFormat="1" applyFont="1" applyBorder="1" applyAlignment="1">
      <alignment vertical="center"/>
    </xf>
    <xf numFmtId="0" fontId="11" fillId="0" borderId="0" xfId="0" applyFont="1" applyAlignment="1">
      <alignment horizontal="left" vertical="center"/>
    </xf>
    <xf numFmtId="0" fontId="11" fillId="0" borderId="0" xfId="0" applyFont="1" applyAlignment="1">
      <alignment vertical="center"/>
    </xf>
    <xf numFmtId="0" fontId="11" fillId="0" borderId="9" xfId="0" applyFont="1" applyBorder="1" applyAlignment="1">
      <alignment horizontal="center" vertical="center"/>
    </xf>
    <xf numFmtId="0" fontId="12" fillId="0" borderId="9" xfId="0" applyFont="1" applyBorder="1" applyAlignment="1">
      <alignment horizontal="center" vertical="center"/>
    </xf>
    <xf numFmtId="0" fontId="12" fillId="0" borderId="10" xfId="0" applyFont="1" applyBorder="1" applyAlignment="1">
      <alignment horizontal="center" vertical="center"/>
    </xf>
    <xf numFmtId="0" fontId="12" fillId="0" borderId="12" xfId="0" applyFont="1" applyBorder="1" applyAlignment="1">
      <alignment horizontal="center" vertical="center"/>
    </xf>
    <xf numFmtId="0" fontId="11" fillId="0" borderId="9" xfId="0" applyFont="1" applyBorder="1" applyAlignment="1">
      <alignment vertical="center"/>
    </xf>
    <xf numFmtId="0" fontId="11" fillId="0" borderId="10" xfId="0" applyFont="1" applyBorder="1" applyAlignment="1">
      <alignment vertical="center"/>
    </xf>
    <xf numFmtId="0" fontId="11" fillId="0" borderId="12" xfId="0" applyFont="1" applyBorder="1" applyAlignment="1">
      <alignment horizontal="center" vertical="center"/>
    </xf>
    <xf numFmtId="0" fontId="14" fillId="0" borderId="0" xfId="0" applyFont="1" applyAlignment="1">
      <alignment vertical="top" wrapText="1"/>
    </xf>
    <xf numFmtId="0" fontId="16" fillId="2" borderId="13" xfId="0" applyFont="1" applyFill="1" applyBorder="1"/>
    <xf numFmtId="0" fontId="15" fillId="0" borderId="13" xfId="0" applyFont="1" applyBorder="1" applyAlignment="1">
      <alignment vertical="top" wrapText="1"/>
    </xf>
    <xf numFmtId="0" fontId="17" fillId="0" borderId="0" xfId="0" applyFont="1" applyAlignment="1">
      <alignment vertical="top" wrapText="1"/>
    </xf>
    <xf numFmtId="0" fontId="3" fillId="0" borderId="1" xfId="0" applyFont="1" applyBorder="1" applyAlignment="1">
      <alignment horizontal="center" vertical="top" wrapText="1"/>
    </xf>
    <xf numFmtId="0" fontId="4" fillId="0" borderId="1" xfId="0" applyFont="1" applyBorder="1" applyAlignment="1">
      <alignment horizontal="center" vertical="center"/>
    </xf>
    <xf numFmtId="0" fontId="8" fillId="0" borderId="1" xfId="0" applyFont="1" applyBorder="1" applyAlignment="1">
      <alignment horizontal="left" vertical="top" wrapText="1"/>
    </xf>
    <xf numFmtId="0" fontId="3" fillId="0" borderId="4" xfId="0" applyFont="1" applyBorder="1" applyAlignment="1">
      <alignment horizontal="center" vertical="top" wrapText="1"/>
    </xf>
    <xf numFmtId="0" fontId="4" fillId="0" borderId="5" xfId="0" applyFont="1" applyBorder="1" applyAlignment="1">
      <alignment horizontal="center" vertical="center" wrapText="1"/>
    </xf>
    <xf numFmtId="0" fontId="4" fillId="0" borderId="6" xfId="0" applyFont="1" applyBorder="1" applyAlignment="1">
      <alignment horizontal="center" vertical="center"/>
    </xf>
    <xf numFmtId="0" fontId="4" fillId="0" borderId="1" xfId="0" applyFont="1" applyBorder="1" applyAlignment="1">
      <alignment horizontal="center" vertical="center" wrapText="1"/>
    </xf>
    <xf numFmtId="0" fontId="11" fillId="0" borderId="8" xfId="0" applyFont="1" applyBorder="1" applyAlignment="1">
      <alignment horizontal="center" vertical="center"/>
    </xf>
    <xf numFmtId="0" fontId="12" fillId="0" borderId="11" xfId="0" applyFont="1" applyBorder="1" applyAlignment="1">
      <alignment horizontal="center" vertical="center"/>
    </xf>
    <xf numFmtId="0" fontId="19" fillId="0" borderId="0" xfId="0" applyFont="1" applyBorder="1" applyAlignment="1">
      <alignment vertical="top" wrapText="1"/>
    </xf>
    <xf numFmtId="0" fontId="15" fillId="0" borderId="0" xfId="0" applyFont="1" applyBorder="1" applyAlignment="1">
      <alignment vertical="top" wrapText="1"/>
    </xf>
    <xf numFmtId="0" fontId="18" fillId="3" borderId="13" xfId="0" applyFont="1" applyFill="1" applyBorder="1"/>
    <xf numFmtId="0" fontId="13" fillId="0" borderId="0" xfId="0" applyFont="1" applyBorder="1" applyAlignment="1">
      <alignment vertical="top" wrapText="1"/>
    </xf>
  </cellXfs>
  <cellStyles count="2">
    <cellStyle name="Βασικό_Αρχική Κατάταξη" xfId="1" xr:uid="{00000000-0005-0000-0000-000006000000}"/>
    <cellStyle name="Κανονικό" xfId="0" builtinId="0"/>
  </cellStyles>
  <dxfs count="2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FF000000"/>
      <rgbColor rgb="FFF2F2F2"/>
      <rgbColor rgb="FFC00000"/>
      <rgbColor rgb="FF00FF00"/>
      <rgbColor rgb="FF0000FF"/>
      <rgbColor rgb="FFFFFF00"/>
      <rgbColor rgb="FFFF00FF"/>
      <rgbColor rgb="FF00FFFF"/>
      <rgbColor rgb="FF9C0006"/>
      <rgbColor rgb="FF008000"/>
      <rgbColor rgb="FF000080"/>
      <rgbColor rgb="FF808000"/>
      <rgbColor rgb="FF800080"/>
      <rgbColor rgb="FF008080"/>
      <rgbColor rgb="FFB7B7B7"/>
      <rgbColor rgb="FF808080"/>
      <rgbColor rgb="FF9999FF"/>
      <rgbColor rgb="FF993366"/>
      <rgbColor rgb="FFFFFFCC"/>
      <rgbColor rgb="FFCCFFFF"/>
      <rgbColor rgb="FF660066"/>
      <rgbColor rgb="FFFF8080"/>
      <rgbColor rgb="FF0066CC"/>
      <rgbColor rgb="FFD9E1F2"/>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7CE"/>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1F4E78"/>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76200</xdr:colOff>
          <xdr:row>1</xdr:row>
          <xdr:rowOff>523875</xdr:rowOff>
        </xdr:from>
        <xdr:to>
          <xdr:col>19</xdr:col>
          <xdr:colOff>190500</xdr:colOff>
          <xdr:row>2</xdr:row>
          <xdr:rowOff>28575</xdr:rowOff>
        </xdr:to>
        <xdr:sp macro="" textlink="">
          <xdr:nvSpPr>
            <xdr:cNvPr id="1001" name="Button 2" descr="Clear " hidden="1">
              <a:extLst>
                <a:ext uri="{63B3BB69-23CF-44E3-9099-C40C66FF867C}">
                  <a14:compatExt spid="_x0000_s1001"/>
                </a:ext>
                <a:ext uri="{FF2B5EF4-FFF2-40B4-BE49-F238E27FC236}">
                  <a16:creationId xmlns:a16="http://schemas.microsoft.com/office/drawing/2014/main" id="{00000000-0008-0000-0000-0000E903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27432" anchor="ctr" upright="1"/>
            <a:lstStyle/>
            <a:p>
              <a:pPr algn="l" rtl="0">
                <a:defRPr sz="1000"/>
              </a:pPr>
              <a:r>
                <a:rPr lang="el-GR" sz="1100" b="0" i="0" u="none" strike="noStrike" baseline="0">
                  <a:solidFill>
                    <a:srgbClr val="000000"/>
                  </a:solidFill>
                  <a:latin typeface="Calibri"/>
                  <a:ea typeface="Calibri"/>
                  <a:cs typeface="Calibri"/>
                </a:rPr>
                <a:t>Clear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0</xdr:row>
          <xdr:rowOff>180975</xdr:rowOff>
        </xdr:from>
        <xdr:to>
          <xdr:col>19</xdr:col>
          <xdr:colOff>180975</xdr:colOff>
          <xdr:row>0</xdr:row>
          <xdr:rowOff>542925</xdr:rowOff>
        </xdr:to>
        <xdr:sp macro="" textlink="">
          <xdr:nvSpPr>
            <xdr:cNvPr id="1002" name="Button 1" descr="Sort " hidden="1">
              <a:extLst>
                <a:ext uri="{63B3BB69-23CF-44E3-9099-C40C66FF867C}">
                  <a14:compatExt spid="_x0000_s1002"/>
                </a:ext>
                <a:ext uri="{FF2B5EF4-FFF2-40B4-BE49-F238E27FC236}">
                  <a16:creationId xmlns:a16="http://schemas.microsoft.com/office/drawing/2014/main" id="{00000000-0008-0000-0000-0000EA03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l-GR" sz="1200" b="1" i="0" u="none" strike="noStrike" baseline="0">
                  <a:solidFill>
                    <a:srgbClr val="000080"/>
                  </a:solidFill>
                  <a:latin typeface="Calibri"/>
                  <a:ea typeface="Calibri"/>
                  <a:cs typeface="Calibri"/>
                </a:rPr>
                <a:t>Sort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xdr:row>
          <xdr:rowOff>19050</xdr:rowOff>
        </xdr:from>
        <xdr:to>
          <xdr:col>19</xdr:col>
          <xdr:colOff>180975</xdr:colOff>
          <xdr:row>1</xdr:row>
          <xdr:rowOff>381000</xdr:rowOff>
        </xdr:to>
        <xdr:sp macro="" textlink="">
          <xdr:nvSpPr>
            <xdr:cNvPr id="1003" name="Button 3" descr="Export" hidden="1">
              <a:extLst>
                <a:ext uri="{63B3BB69-23CF-44E3-9099-C40C66FF867C}">
                  <a14:compatExt spid="_x0000_s1003"/>
                </a:ext>
                <a:ext uri="{FF2B5EF4-FFF2-40B4-BE49-F238E27FC236}">
                  <a16:creationId xmlns:a16="http://schemas.microsoft.com/office/drawing/2014/main" id="{00000000-0008-0000-0000-0000EB03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l-GR" sz="1200" b="1" i="0" u="none" strike="noStrike" baseline="0">
                  <a:solidFill>
                    <a:srgbClr val="000080"/>
                  </a:solidFill>
                  <a:latin typeface="Calibri"/>
                  <a:ea typeface="Calibri"/>
                  <a:cs typeface="Calibri"/>
                </a:rPr>
                <a:t>Export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0</xdr:row>
          <xdr:rowOff>180975</xdr:rowOff>
        </xdr:from>
        <xdr:to>
          <xdr:col>19</xdr:col>
          <xdr:colOff>180975</xdr:colOff>
          <xdr:row>0</xdr:row>
          <xdr:rowOff>542925</xdr:rowOff>
        </xdr:to>
        <xdr:sp macro="" textlink="">
          <xdr:nvSpPr>
            <xdr:cNvPr id="1004" name="Button 1001" descr="Sort " hidden="1">
              <a:extLst>
                <a:ext uri="{63B3BB69-23CF-44E3-9099-C40C66FF867C}">
                  <a14:compatExt spid="_x0000_s1004"/>
                </a:ext>
                <a:ext uri="{FF2B5EF4-FFF2-40B4-BE49-F238E27FC236}">
                  <a16:creationId xmlns:a16="http://schemas.microsoft.com/office/drawing/2014/main" id="{00000000-0008-0000-0000-0000EC03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27432" anchor="ctr" upright="1"/>
            <a:lstStyle/>
            <a:p>
              <a:pPr algn="l" rtl="0">
                <a:defRPr sz="1000"/>
              </a:pPr>
              <a:r>
                <a:rPr lang="el-GR" sz="1100" b="0" i="0" u="none" strike="noStrike" baseline="0">
                  <a:solidFill>
                    <a:srgbClr val="000000"/>
                  </a:solidFill>
                  <a:latin typeface="Calibri"/>
                  <a:ea typeface="Calibri"/>
                  <a:cs typeface="Calibri"/>
                </a:rPr>
                <a:t>Sort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xdr:row>
          <xdr:rowOff>19050</xdr:rowOff>
        </xdr:from>
        <xdr:to>
          <xdr:col>19</xdr:col>
          <xdr:colOff>180975</xdr:colOff>
          <xdr:row>1</xdr:row>
          <xdr:rowOff>381000</xdr:rowOff>
        </xdr:to>
        <xdr:sp macro="" textlink="">
          <xdr:nvSpPr>
            <xdr:cNvPr id="1005" name="Button 1003" descr="Export" hidden="1">
              <a:extLst>
                <a:ext uri="{63B3BB69-23CF-44E3-9099-C40C66FF867C}">
                  <a14:compatExt spid="_x0000_s1005"/>
                </a:ext>
                <a:ext uri="{FF2B5EF4-FFF2-40B4-BE49-F238E27FC236}">
                  <a16:creationId xmlns:a16="http://schemas.microsoft.com/office/drawing/2014/main" id="{00000000-0008-0000-0000-0000ED03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27432" anchor="ctr" upright="1"/>
            <a:lstStyle/>
            <a:p>
              <a:pPr algn="l" rtl="0">
                <a:defRPr sz="1000"/>
              </a:pPr>
              <a:r>
                <a:rPr lang="el-GR" sz="1100" b="0" i="0" u="none" strike="noStrike" baseline="0">
                  <a:solidFill>
                    <a:srgbClr val="000000"/>
                  </a:solidFill>
                  <a:latin typeface="Calibri"/>
                  <a:ea typeface="Calibri"/>
                  <a:cs typeface="Calibri"/>
                </a:rPr>
                <a:t>Export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18</xdr:col>
          <xdr:colOff>38100</xdr:colOff>
          <xdr:row>1</xdr:row>
          <xdr:rowOff>304800</xdr:rowOff>
        </xdr:from>
        <xdr:to>
          <xdr:col>19</xdr:col>
          <xdr:colOff>152400</xdr:colOff>
          <xdr:row>1</xdr:row>
          <xdr:rowOff>666750</xdr:rowOff>
        </xdr:to>
        <xdr:sp macro="" textlink="">
          <xdr:nvSpPr>
            <xdr:cNvPr id="1029" name="Button 2"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l-GR" sz="1200" b="1" i="0" u="none" strike="noStrike" baseline="0">
                  <a:solidFill>
                    <a:srgbClr val="000080"/>
                  </a:solidFill>
                  <a:latin typeface="Calibri"/>
                  <a:ea typeface="Calibri"/>
                  <a:cs typeface="Calibri"/>
                </a:rPr>
                <a:t>Clear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0</xdr:row>
          <xdr:rowOff>66675</xdr:rowOff>
        </xdr:from>
        <xdr:to>
          <xdr:col>19</xdr:col>
          <xdr:colOff>142875</xdr:colOff>
          <xdr:row>0</xdr:row>
          <xdr:rowOff>428625</xdr:rowOff>
        </xdr:to>
        <xdr:sp macro="" textlink="">
          <xdr:nvSpPr>
            <xdr:cNvPr id="1033" name="Button 1" descr="Sort "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l-GR" sz="1200" b="1" i="0" u="none" strike="noStrike" baseline="0">
                  <a:solidFill>
                    <a:srgbClr val="000080"/>
                  </a:solidFill>
                  <a:latin typeface="Calibri"/>
                  <a:ea typeface="Calibri"/>
                  <a:cs typeface="Calibri"/>
                </a:rPr>
                <a:t>Sort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0</xdr:row>
          <xdr:rowOff>495300</xdr:rowOff>
        </xdr:from>
        <xdr:to>
          <xdr:col>19</xdr:col>
          <xdr:colOff>161925</xdr:colOff>
          <xdr:row>1</xdr:row>
          <xdr:rowOff>209550</xdr:rowOff>
        </xdr:to>
        <xdr:sp macro="" textlink="">
          <xdr:nvSpPr>
            <xdr:cNvPr id="1032" name="Button 3" descr="Export"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l-GR" sz="1200" b="1" i="0" u="none" strike="noStrike" baseline="0">
                  <a:solidFill>
                    <a:srgbClr val="000080"/>
                  </a:solidFill>
                  <a:latin typeface="Calibri"/>
                  <a:ea typeface="Calibri"/>
                  <a:cs typeface="Calibri"/>
                </a:rPr>
                <a:t>Export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0</xdr:row>
          <xdr:rowOff>180975</xdr:rowOff>
        </xdr:from>
        <xdr:to>
          <xdr:col>19</xdr:col>
          <xdr:colOff>180975</xdr:colOff>
          <xdr:row>1</xdr:row>
          <xdr:rowOff>104775</xdr:rowOff>
        </xdr:to>
        <xdr:sp macro="" textlink="">
          <xdr:nvSpPr>
            <xdr:cNvPr id="1031" name="Button 1001" descr="Sort "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27432" anchor="ctr" upright="1"/>
            <a:lstStyle/>
            <a:p>
              <a:pPr algn="l" rtl="0">
                <a:defRPr sz="1000"/>
              </a:pPr>
              <a:r>
                <a:rPr lang="el-GR" sz="1100" b="0" i="0" u="none" strike="noStrike" baseline="0">
                  <a:solidFill>
                    <a:srgbClr val="000000"/>
                  </a:solidFill>
                  <a:latin typeface="Calibri"/>
                  <a:ea typeface="Calibri"/>
                  <a:cs typeface="Calibri"/>
                </a:rPr>
                <a:t>Sort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xdr:row>
          <xdr:rowOff>19050</xdr:rowOff>
        </xdr:from>
        <xdr:to>
          <xdr:col>19</xdr:col>
          <xdr:colOff>180975</xdr:colOff>
          <xdr:row>3</xdr:row>
          <xdr:rowOff>0</xdr:rowOff>
        </xdr:to>
        <xdr:sp macro="" textlink="">
          <xdr:nvSpPr>
            <xdr:cNvPr id="1030" name="Button 1003" descr="Export"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27432" anchor="ctr" upright="1"/>
            <a:lstStyle/>
            <a:p>
              <a:pPr algn="l" rtl="0">
                <a:defRPr sz="1000"/>
              </a:pPr>
              <a:r>
                <a:rPr lang="el-GR" sz="1100" b="0" i="0" u="none" strike="noStrike" baseline="0">
                  <a:solidFill>
                    <a:srgbClr val="000000"/>
                  </a:solidFill>
                  <a:latin typeface="Calibri"/>
                  <a:ea typeface="Calibri"/>
                  <a:cs typeface="Calibri"/>
                </a:rPr>
                <a:t>Export</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0</xdr:row>
          <xdr:rowOff>85725</xdr:rowOff>
        </xdr:from>
        <xdr:to>
          <xdr:col>19</xdr:col>
          <xdr:colOff>152400</xdr:colOff>
          <xdr:row>1</xdr:row>
          <xdr:rowOff>-200025</xdr:rowOff>
        </xdr:to>
        <xdr:sp macro="" textlink="">
          <xdr:nvSpPr>
            <xdr:cNvPr id="2052" name="Button 1" descr="Sort "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l-GR" sz="1200" b="1" i="0" u="none" strike="noStrike" baseline="0">
                  <a:solidFill>
                    <a:srgbClr val="000080"/>
                  </a:solidFill>
                  <a:latin typeface="Calibri"/>
                  <a:ea typeface="Calibri"/>
                  <a:cs typeface="Calibri"/>
                </a:rPr>
                <a:t>Sort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0</xdr:row>
          <xdr:rowOff>571500</xdr:rowOff>
        </xdr:from>
        <xdr:to>
          <xdr:col>19</xdr:col>
          <xdr:colOff>152400</xdr:colOff>
          <xdr:row>1</xdr:row>
          <xdr:rowOff>285750</xdr:rowOff>
        </xdr:to>
        <xdr:sp macro="" textlink="">
          <xdr:nvSpPr>
            <xdr:cNvPr id="2053" name="Button 3" descr="Export"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l-GR" sz="1200" b="1" i="0" u="none" strike="noStrike" baseline="0">
                  <a:solidFill>
                    <a:srgbClr val="000080"/>
                  </a:solidFill>
                  <a:latin typeface="Calibri"/>
                  <a:ea typeface="Calibri"/>
                  <a:cs typeface="Calibri"/>
                </a:rPr>
                <a:t>Export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xdr:row>
          <xdr:rowOff>371475</xdr:rowOff>
        </xdr:from>
        <xdr:to>
          <xdr:col>19</xdr:col>
          <xdr:colOff>152400</xdr:colOff>
          <xdr:row>2</xdr:row>
          <xdr:rowOff>-123825</xdr:rowOff>
        </xdr:to>
        <xdr:sp macro="" textlink="">
          <xdr:nvSpPr>
            <xdr:cNvPr id="2054" name="Button 2" descr="Clear "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l-GR" sz="1200" b="1" i="0" u="none" strike="noStrike" baseline="0">
                  <a:solidFill>
                    <a:srgbClr val="000080"/>
                  </a:solidFill>
                  <a:latin typeface="Calibri"/>
                  <a:ea typeface="Calibri"/>
                  <a:cs typeface="Calibri"/>
                </a:rPr>
                <a:t>Clear </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66675</xdr:colOff>
          <xdr:row>1</xdr:row>
          <xdr:rowOff>76200</xdr:rowOff>
        </xdr:from>
        <xdr:to>
          <xdr:col>18</xdr:col>
          <xdr:colOff>180975</xdr:colOff>
          <xdr:row>2</xdr:row>
          <xdr:rowOff>-419100</xdr:rowOff>
        </xdr:to>
        <xdr:sp macro="" textlink="">
          <xdr:nvSpPr>
            <xdr:cNvPr id="3076" name="Button 1" descr="Sort "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l-GR" sz="1200" b="1" i="0" u="none" strike="noStrike" baseline="0">
                  <a:solidFill>
                    <a:srgbClr val="000080"/>
                  </a:solidFill>
                  <a:latin typeface="Calibri"/>
                  <a:ea typeface="Calibri"/>
                  <a:cs typeface="Calibri"/>
                </a:rPr>
                <a:t>Sort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66675</xdr:colOff>
          <xdr:row>1</xdr:row>
          <xdr:rowOff>561975</xdr:rowOff>
        </xdr:from>
        <xdr:to>
          <xdr:col>18</xdr:col>
          <xdr:colOff>180975</xdr:colOff>
          <xdr:row>2</xdr:row>
          <xdr:rowOff>66675</xdr:rowOff>
        </xdr:to>
        <xdr:sp macro="" textlink="">
          <xdr:nvSpPr>
            <xdr:cNvPr id="3077" name="Button 3" descr="Export"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l-GR" sz="1200" b="1" i="0" u="none" strike="noStrike" baseline="0">
                  <a:solidFill>
                    <a:srgbClr val="000080"/>
                  </a:solidFill>
                  <a:latin typeface="Calibri"/>
                  <a:ea typeface="Calibri"/>
                  <a:cs typeface="Calibri"/>
                </a:rPr>
                <a:t>Export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66675</xdr:colOff>
          <xdr:row>2</xdr:row>
          <xdr:rowOff>152400</xdr:rowOff>
        </xdr:from>
        <xdr:to>
          <xdr:col>18</xdr:col>
          <xdr:colOff>180975</xdr:colOff>
          <xdr:row>4</xdr:row>
          <xdr:rowOff>38100</xdr:rowOff>
        </xdr:to>
        <xdr:sp macro="" textlink="">
          <xdr:nvSpPr>
            <xdr:cNvPr id="3078" name="Button 2" descr="Clear "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l-GR" sz="1200" b="1" i="0" u="none" strike="noStrike" baseline="0">
                  <a:solidFill>
                    <a:srgbClr val="000080"/>
                  </a:solidFill>
                  <a:latin typeface="Calibri"/>
                  <a:ea typeface="Calibri"/>
                  <a:cs typeface="Calibri"/>
                </a:rPr>
                <a:t>Clear </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66675</xdr:colOff>
          <xdr:row>1</xdr:row>
          <xdr:rowOff>57150</xdr:rowOff>
        </xdr:from>
        <xdr:to>
          <xdr:col>18</xdr:col>
          <xdr:colOff>180975</xdr:colOff>
          <xdr:row>2</xdr:row>
          <xdr:rowOff>-438150</xdr:rowOff>
        </xdr:to>
        <xdr:sp macro="" textlink="">
          <xdr:nvSpPr>
            <xdr:cNvPr id="4100" name="Button 1" descr="Sort "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l-GR" sz="1200" b="1" i="0" u="none" strike="noStrike" baseline="0">
                  <a:solidFill>
                    <a:srgbClr val="000080"/>
                  </a:solidFill>
                  <a:latin typeface="Calibri"/>
                  <a:ea typeface="Calibri"/>
                  <a:cs typeface="Calibri"/>
                </a:rPr>
                <a:t>Sort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66675</xdr:colOff>
          <xdr:row>1</xdr:row>
          <xdr:rowOff>542925</xdr:rowOff>
        </xdr:from>
        <xdr:to>
          <xdr:col>18</xdr:col>
          <xdr:colOff>180975</xdr:colOff>
          <xdr:row>2</xdr:row>
          <xdr:rowOff>47625</xdr:rowOff>
        </xdr:to>
        <xdr:sp macro="" textlink="">
          <xdr:nvSpPr>
            <xdr:cNvPr id="4101" name="Button 3" descr="Export"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l-GR" sz="1200" b="1" i="0" u="none" strike="noStrike" baseline="0">
                  <a:solidFill>
                    <a:srgbClr val="000080"/>
                  </a:solidFill>
                  <a:latin typeface="Calibri"/>
                  <a:ea typeface="Calibri"/>
                  <a:cs typeface="Calibri"/>
                </a:rPr>
                <a:t>Export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66675</xdr:colOff>
          <xdr:row>2</xdr:row>
          <xdr:rowOff>133350</xdr:rowOff>
        </xdr:from>
        <xdr:to>
          <xdr:col>18</xdr:col>
          <xdr:colOff>180975</xdr:colOff>
          <xdr:row>4</xdr:row>
          <xdr:rowOff>19050</xdr:rowOff>
        </xdr:to>
        <xdr:sp macro="" textlink="">
          <xdr:nvSpPr>
            <xdr:cNvPr id="4102" name="Button 2" descr="Clear "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l-GR" sz="1200" b="1" i="0" u="none" strike="noStrike" baseline="0">
                  <a:solidFill>
                    <a:srgbClr val="000080"/>
                  </a:solidFill>
                  <a:latin typeface="Calibri"/>
                  <a:ea typeface="Calibri"/>
                  <a:cs typeface="Calibri"/>
                </a:rPr>
                <a:t>Clear </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66675</xdr:colOff>
          <xdr:row>1</xdr:row>
          <xdr:rowOff>104775</xdr:rowOff>
        </xdr:from>
        <xdr:to>
          <xdr:col>7</xdr:col>
          <xdr:colOff>171450</xdr:colOff>
          <xdr:row>2</xdr:row>
          <xdr:rowOff>-66675</xdr:rowOff>
        </xdr:to>
        <xdr:sp macro="" textlink="">
          <xdr:nvSpPr>
            <xdr:cNvPr id="5124" name="Button 1" descr="Sort "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l-GR" sz="1200" b="1" i="0" u="none" strike="noStrike" baseline="0">
                  <a:solidFill>
                    <a:srgbClr val="000080"/>
                  </a:solidFill>
                  <a:latin typeface="Calibri"/>
                  <a:ea typeface="Calibri"/>
                  <a:cs typeface="Calibri"/>
                </a:rPr>
                <a:t>Sort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xdr:row>
          <xdr:rowOff>66675</xdr:rowOff>
        </xdr:from>
        <xdr:to>
          <xdr:col>7</xdr:col>
          <xdr:colOff>171450</xdr:colOff>
          <xdr:row>3</xdr:row>
          <xdr:rowOff>-104775</xdr:rowOff>
        </xdr:to>
        <xdr:sp macro="" textlink="">
          <xdr:nvSpPr>
            <xdr:cNvPr id="5125" name="Button 3" descr="Export"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l-GR" sz="1200" b="1" i="0" u="none" strike="noStrike" baseline="0">
                  <a:solidFill>
                    <a:srgbClr val="000080"/>
                  </a:solidFill>
                  <a:latin typeface="Calibri"/>
                  <a:ea typeface="Calibri"/>
                  <a:cs typeface="Calibri"/>
                </a:rPr>
                <a:t>Export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xdr:row>
          <xdr:rowOff>514350</xdr:rowOff>
        </xdr:from>
        <xdr:to>
          <xdr:col>7</xdr:col>
          <xdr:colOff>171450</xdr:colOff>
          <xdr:row>3</xdr:row>
          <xdr:rowOff>342900</xdr:rowOff>
        </xdr:to>
        <xdr:sp macro="" textlink="">
          <xdr:nvSpPr>
            <xdr:cNvPr id="5126" name="Button 2" descr="Clear "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l-GR" sz="1200" b="1" i="0" u="none" strike="noStrike" baseline="0">
                  <a:solidFill>
                    <a:srgbClr val="000080"/>
                  </a:solidFill>
                  <a:latin typeface="Calibri"/>
                  <a:ea typeface="Calibri"/>
                  <a:cs typeface="Calibri"/>
                </a:rPr>
                <a:t>Clear </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95250</xdr:colOff>
          <xdr:row>1</xdr:row>
          <xdr:rowOff>114300</xdr:rowOff>
        </xdr:from>
        <xdr:to>
          <xdr:col>7</xdr:col>
          <xdr:colOff>209550</xdr:colOff>
          <xdr:row>2</xdr:row>
          <xdr:rowOff>-57150</xdr:rowOff>
        </xdr:to>
        <xdr:sp macro="" textlink="">
          <xdr:nvSpPr>
            <xdr:cNvPr id="6148" name="Button 1" descr="Sort "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l-GR" sz="1200" b="1" i="0" u="none" strike="noStrike" baseline="0">
                  <a:solidFill>
                    <a:srgbClr val="000080"/>
                  </a:solidFill>
                  <a:latin typeface="Calibri"/>
                  <a:ea typeface="Calibri"/>
                  <a:cs typeface="Calibri"/>
                </a:rPr>
                <a:t>Sort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2</xdr:row>
          <xdr:rowOff>66675</xdr:rowOff>
        </xdr:from>
        <xdr:to>
          <xdr:col>7</xdr:col>
          <xdr:colOff>209550</xdr:colOff>
          <xdr:row>3</xdr:row>
          <xdr:rowOff>-104775</xdr:rowOff>
        </xdr:to>
        <xdr:sp macro="" textlink="">
          <xdr:nvSpPr>
            <xdr:cNvPr id="6149" name="Button 3" descr="Export" hidden="1">
              <a:extLst>
                <a:ext uri="{63B3BB69-23CF-44E3-9099-C40C66FF867C}">
                  <a14:compatExt spid="_x0000_s6149"/>
                </a:ext>
                <a:ext uri="{FF2B5EF4-FFF2-40B4-BE49-F238E27FC236}">
                  <a16:creationId xmlns:a16="http://schemas.microsoft.com/office/drawing/2014/main" id="{00000000-0008-0000-0500-0000051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l-GR" sz="1200" b="1" i="0" u="none" strike="noStrike" baseline="0">
                  <a:solidFill>
                    <a:srgbClr val="000080"/>
                  </a:solidFill>
                  <a:latin typeface="Calibri"/>
                  <a:ea typeface="Calibri"/>
                  <a:cs typeface="Calibri"/>
                </a:rPr>
                <a:t>Export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2</xdr:row>
          <xdr:rowOff>514350</xdr:rowOff>
        </xdr:from>
        <xdr:to>
          <xdr:col>7</xdr:col>
          <xdr:colOff>209550</xdr:colOff>
          <xdr:row>3</xdr:row>
          <xdr:rowOff>342900</xdr:rowOff>
        </xdr:to>
        <xdr:sp macro="" textlink="">
          <xdr:nvSpPr>
            <xdr:cNvPr id="6150" name="Button 2" descr="Clear " hidden="1">
              <a:extLst>
                <a:ext uri="{63B3BB69-23CF-44E3-9099-C40C66FF867C}">
                  <a14:compatExt spid="_x0000_s6150"/>
                </a:ext>
                <a:ext uri="{FF2B5EF4-FFF2-40B4-BE49-F238E27FC236}">
                  <a16:creationId xmlns:a16="http://schemas.microsoft.com/office/drawing/2014/main" id="{00000000-0008-0000-0500-0000061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l-GR" sz="1200" b="1" i="0" u="none" strike="noStrike" baseline="0">
                  <a:solidFill>
                    <a:srgbClr val="000080"/>
                  </a:solidFill>
                  <a:latin typeface="Calibri"/>
                  <a:ea typeface="Calibri"/>
                  <a:cs typeface="Calibri"/>
                </a:rPr>
                <a:t>Clear </a:t>
              </a:r>
            </a:p>
          </xdr:txBody>
        </xdr:sp>
        <xdr:clientData/>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Y998"/>
  <sheetViews>
    <sheetView tabSelected="1" view="pageBreakPreview" topLeftCell="K1" zoomScaleNormal="100" workbookViewId="0">
      <selection activeCell="Q4" sqref="Q4"/>
    </sheetView>
  </sheetViews>
  <sheetFormatPr defaultColWidth="9.140625" defaultRowHeight="15.75" x14ac:dyDescent="0.25"/>
  <cols>
    <col min="1" max="1" width="7.42578125" style="1" customWidth="1"/>
    <col min="2" max="2" width="50.7109375" style="2" customWidth="1"/>
    <col min="3" max="17" width="15.7109375" style="1" customWidth="1"/>
    <col min="18" max="18" width="14.140625" style="3" customWidth="1"/>
    <col min="19" max="16384" width="9.140625" style="4"/>
  </cols>
  <sheetData>
    <row r="1" spans="1:21" ht="51" customHeight="1" x14ac:dyDescent="0.25">
      <c r="A1" s="46" t="s">
        <v>0</v>
      </c>
      <c r="B1" s="46"/>
      <c r="C1" s="46"/>
      <c r="D1" s="46"/>
      <c r="E1" s="46"/>
      <c r="F1" s="46"/>
      <c r="G1" s="46"/>
      <c r="H1" s="46"/>
      <c r="I1" s="46"/>
      <c r="J1" s="46"/>
      <c r="K1" s="46"/>
      <c r="L1" s="46"/>
      <c r="M1" s="46"/>
      <c r="N1" s="46"/>
      <c r="O1" s="46"/>
      <c r="P1" s="46"/>
      <c r="Q1" s="46"/>
      <c r="R1" s="46"/>
    </row>
    <row r="2" spans="1:21" ht="67.5" customHeight="1" x14ac:dyDescent="0.25">
      <c r="A2" s="47" t="s">
        <v>1</v>
      </c>
      <c r="B2" s="47"/>
      <c r="C2" s="5" t="s">
        <v>2</v>
      </c>
      <c r="D2" s="5" t="s">
        <v>3</v>
      </c>
      <c r="E2" s="5" t="s">
        <v>4</v>
      </c>
      <c r="F2" s="5" t="s">
        <v>5</v>
      </c>
      <c r="G2" s="5" t="s">
        <v>6</v>
      </c>
      <c r="H2" s="5" t="s">
        <v>7</v>
      </c>
      <c r="I2" s="5" t="s">
        <v>8</v>
      </c>
      <c r="J2" s="5" t="s">
        <v>9</v>
      </c>
      <c r="K2" s="5" t="s">
        <v>10</v>
      </c>
      <c r="L2" s="5" t="s">
        <v>11</v>
      </c>
      <c r="M2" s="5" t="s">
        <v>12</v>
      </c>
      <c r="N2" s="5" t="s">
        <v>13</v>
      </c>
      <c r="O2" s="5" t="s">
        <v>14</v>
      </c>
      <c r="P2" s="5" t="s">
        <v>15</v>
      </c>
      <c r="Q2" s="5" t="s">
        <v>16</v>
      </c>
      <c r="R2" s="5" t="s">
        <v>17</v>
      </c>
    </row>
    <row r="3" spans="1:21" s="7" customFormat="1" ht="21.75" customHeight="1" x14ac:dyDescent="0.25">
      <c r="A3" s="47"/>
      <c r="B3" s="47"/>
      <c r="C3" s="6" t="s">
        <v>18</v>
      </c>
      <c r="D3" s="6" t="s">
        <v>19</v>
      </c>
      <c r="E3" s="6" t="s">
        <v>20</v>
      </c>
      <c r="F3" s="6" t="s">
        <v>21</v>
      </c>
      <c r="G3" s="6" t="s">
        <v>22</v>
      </c>
      <c r="H3" s="6" t="s">
        <v>23</v>
      </c>
      <c r="I3" s="6" t="s">
        <v>24</v>
      </c>
      <c r="J3" s="6" t="s">
        <v>25</v>
      </c>
      <c r="K3" s="6" t="s">
        <v>26</v>
      </c>
      <c r="L3" s="6" t="s">
        <v>27</v>
      </c>
      <c r="M3" s="6" t="s">
        <v>27</v>
      </c>
      <c r="N3" s="6" t="s">
        <v>28</v>
      </c>
      <c r="O3" s="6" t="s">
        <v>29</v>
      </c>
      <c r="P3" s="6" t="s">
        <v>29</v>
      </c>
      <c r="Q3" s="6" t="s">
        <v>30</v>
      </c>
      <c r="R3" s="5"/>
      <c r="U3" s="8"/>
    </row>
    <row r="4" spans="1:21" s="7" customFormat="1" ht="21.75" customHeight="1" x14ac:dyDescent="0.25">
      <c r="A4" s="1">
        <v>1</v>
      </c>
      <c r="B4" s="9" t="s">
        <v>31</v>
      </c>
      <c r="C4" s="1"/>
      <c r="D4" s="1">
        <v>152</v>
      </c>
      <c r="E4" s="1">
        <v>100</v>
      </c>
      <c r="F4" s="1">
        <v>135</v>
      </c>
      <c r="G4" s="1">
        <v>304</v>
      </c>
      <c r="H4" s="1">
        <v>765</v>
      </c>
      <c r="I4" s="1">
        <v>50</v>
      </c>
      <c r="J4" s="1">
        <v>600</v>
      </c>
      <c r="K4" s="1">
        <v>270</v>
      </c>
      <c r="L4" s="1">
        <v>532</v>
      </c>
      <c r="M4" s="1"/>
      <c r="N4" s="1">
        <v>400</v>
      </c>
      <c r="O4" s="1">
        <v>1000</v>
      </c>
      <c r="P4" s="1"/>
      <c r="Q4" s="1"/>
      <c r="R4" s="1">
        <f>SUM(C4:Q4)</f>
        <v>4308</v>
      </c>
    </row>
    <row r="5" spans="1:21" s="7" customFormat="1" ht="21.75" customHeight="1" x14ac:dyDescent="0.25">
      <c r="A5" s="1">
        <v>2</v>
      </c>
      <c r="B5" s="9" t="s">
        <v>32</v>
      </c>
      <c r="C5" s="1"/>
      <c r="D5" s="1"/>
      <c r="E5" s="1">
        <v>100</v>
      </c>
      <c r="F5" s="1">
        <v>135</v>
      </c>
      <c r="G5" s="1">
        <v>304</v>
      </c>
      <c r="H5" s="1">
        <v>765</v>
      </c>
      <c r="I5" s="1">
        <v>50</v>
      </c>
      <c r="J5" s="1">
        <v>600</v>
      </c>
      <c r="K5" s="1">
        <v>270</v>
      </c>
      <c r="L5" s="1">
        <v>532</v>
      </c>
      <c r="M5" s="1"/>
      <c r="N5" s="1">
        <v>400</v>
      </c>
      <c r="O5" s="1">
        <v>1000</v>
      </c>
      <c r="P5" s="1"/>
      <c r="Q5" s="1"/>
      <c r="R5" s="1">
        <f>SUM(C5:Q5)</f>
        <v>4156</v>
      </c>
    </row>
    <row r="6" spans="1:21" s="7" customFormat="1" ht="21.75" customHeight="1" x14ac:dyDescent="0.25">
      <c r="A6" s="1">
        <v>3</v>
      </c>
      <c r="B6" s="9" t="s">
        <v>33</v>
      </c>
      <c r="C6" s="1"/>
      <c r="D6" s="1"/>
      <c r="E6" s="1"/>
      <c r="F6" s="1"/>
      <c r="G6" s="1">
        <v>304</v>
      </c>
      <c r="H6" s="1">
        <v>850</v>
      </c>
      <c r="I6" s="1"/>
      <c r="J6" s="1">
        <v>760</v>
      </c>
      <c r="K6" s="1">
        <v>405</v>
      </c>
      <c r="L6" s="1">
        <v>532</v>
      </c>
      <c r="M6" s="1"/>
      <c r="N6" s="1"/>
      <c r="O6" s="1">
        <v>900</v>
      </c>
      <c r="P6" s="1"/>
      <c r="Q6" s="1"/>
      <c r="R6" s="1">
        <f>SUM(C6:Q6)</f>
        <v>3751</v>
      </c>
    </row>
    <row r="7" spans="1:21" s="7" customFormat="1" ht="21.75" customHeight="1" x14ac:dyDescent="0.25">
      <c r="A7" s="1" t="s">
        <v>34</v>
      </c>
      <c r="B7" s="9" t="s">
        <v>35</v>
      </c>
      <c r="C7" s="1"/>
      <c r="D7" s="1"/>
      <c r="E7" s="1"/>
      <c r="F7" s="1"/>
      <c r="G7" s="1">
        <v>304</v>
      </c>
      <c r="H7" s="1">
        <v>850</v>
      </c>
      <c r="I7" s="1"/>
      <c r="J7" s="1">
        <v>760</v>
      </c>
      <c r="K7" s="1">
        <v>405</v>
      </c>
      <c r="L7" s="1">
        <v>532</v>
      </c>
      <c r="M7" s="1"/>
      <c r="N7" s="1"/>
      <c r="O7" s="1">
        <v>900</v>
      </c>
      <c r="P7" s="1"/>
      <c r="Q7" s="1"/>
      <c r="R7" s="1">
        <f>SUM(C7:Q7)</f>
        <v>3751</v>
      </c>
    </row>
    <row r="8" spans="1:21" s="7" customFormat="1" ht="21.75" customHeight="1" x14ac:dyDescent="0.25">
      <c r="A8" s="1">
        <v>5</v>
      </c>
      <c r="B8" s="9" t="s">
        <v>36</v>
      </c>
      <c r="C8" s="1">
        <v>45</v>
      </c>
      <c r="D8" s="1">
        <v>120</v>
      </c>
      <c r="E8" s="1">
        <v>90</v>
      </c>
      <c r="F8" s="1">
        <v>90</v>
      </c>
      <c r="G8" s="1">
        <v>240</v>
      </c>
      <c r="H8" s="1">
        <v>510</v>
      </c>
      <c r="I8" s="1">
        <v>30</v>
      </c>
      <c r="J8" s="1">
        <v>600</v>
      </c>
      <c r="K8" s="1">
        <v>342</v>
      </c>
      <c r="L8" s="1">
        <v>630</v>
      </c>
      <c r="M8" s="1"/>
      <c r="N8" s="1">
        <v>304</v>
      </c>
      <c r="O8" s="1">
        <v>700</v>
      </c>
      <c r="P8" s="1"/>
      <c r="Q8" s="1"/>
      <c r="R8" s="1">
        <f>SUM(C8:Q8)</f>
        <v>3701</v>
      </c>
      <c r="S8" s="10"/>
    </row>
    <row r="9" spans="1:21" s="7" customFormat="1" ht="21.75" customHeight="1" x14ac:dyDescent="0.25">
      <c r="A9" s="1">
        <v>6</v>
      </c>
      <c r="B9" s="9" t="s">
        <v>37</v>
      </c>
      <c r="C9" s="1">
        <v>45</v>
      </c>
      <c r="D9" s="1">
        <v>120</v>
      </c>
      <c r="E9" s="1">
        <v>90</v>
      </c>
      <c r="F9" s="1">
        <v>90</v>
      </c>
      <c r="G9" s="1">
        <v>240</v>
      </c>
      <c r="H9" s="1">
        <v>510</v>
      </c>
      <c r="I9" s="1"/>
      <c r="J9" s="1">
        <v>600</v>
      </c>
      <c r="K9" s="1">
        <v>342</v>
      </c>
      <c r="L9" s="1">
        <v>630</v>
      </c>
      <c r="M9" s="1"/>
      <c r="N9" s="1">
        <v>304</v>
      </c>
      <c r="O9" s="1">
        <v>700</v>
      </c>
      <c r="P9" s="1"/>
      <c r="Q9" s="1"/>
      <c r="R9" s="1">
        <f>SUM(C9:Q9)</f>
        <v>3671</v>
      </c>
    </row>
    <row r="10" spans="1:21" s="7" customFormat="1" ht="21.75" customHeight="1" x14ac:dyDescent="0.25">
      <c r="A10" s="1">
        <v>7</v>
      </c>
      <c r="B10" s="9" t="s">
        <v>38</v>
      </c>
      <c r="C10" s="1">
        <v>50</v>
      </c>
      <c r="D10" s="1">
        <v>200</v>
      </c>
      <c r="E10" s="1"/>
      <c r="F10" s="1">
        <v>150</v>
      </c>
      <c r="G10" s="1">
        <v>400</v>
      </c>
      <c r="H10" s="1"/>
      <c r="I10" s="1"/>
      <c r="J10" s="1">
        <v>760</v>
      </c>
      <c r="K10" s="1">
        <v>450</v>
      </c>
      <c r="L10" s="1">
        <v>700</v>
      </c>
      <c r="M10" s="1"/>
      <c r="N10" s="1">
        <v>216</v>
      </c>
      <c r="O10" s="1">
        <v>600</v>
      </c>
      <c r="P10" s="1"/>
      <c r="Q10" s="1"/>
      <c r="R10" s="1">
        <f>SUM(C10:Q10)</f>
        <v>3526</v>
      </c>
    </row>
    <row r="11" spans="1:21" s="7" customFormat="1" ht="21.75" customHeight="1" x14ac:dyDescent="0.25">
      <c r="A11" s="1" t="s">
        <v>34</v>
      </c>
      <c r="B11" s="9" t="s">
        <v>39</v>
      </c>
      <c r="C11" s="1">
        <v>50</v>
      </c>
      <c r="D11" s="1">
        <v>200</v>
      </c>
      <c r="E11" s="1"/>
      <c r="F11" s="1">
        <v>150</v>
      </c>
      <c r="G11" s="1">
        <v>400</v>
      </c>
      <c r="H11" s="1"/>
      <c r="I11" s="1"/>
      <c r="J11" s="1">
        <v>760</v>
      </c>
      <c r="K11" s="1">
        <v>450</v>
      </c>
      <c r="L11" s="1">
        <v>700</v>
      </c>
      <c r="M11" s="1"/>
      <c r="N11" s="1">
        <v>216</v>
      </c>
      <c r="O11" s="1">
        <v>600</v>
      </c>
      <c r="P11" s="1"/>
      <c r="Q11" s="1"/>
      <c r="R11" s="1">
        <f>SUM(C11:Q11)</f>
        <v>3526</v>
      </c>
    </row>
    <row r="12" spans="1:21" s="7" customFormat="1" ht="21.75" customHeight="1" x14ac:dyDescent="0.25">
      <c r="A12" s="1" t="s">
        <v>34</v>
      </c>
      <c r="B12" s="9" t="s">
        <v>40</v>
      </c>
      <c r="C12" s="1"/>
      <c r="D12" s="1">
        <v>120</v>
      </c>
      <c r="E12" s="1">
        <v>60</v>
      </c>
      <c r="F12" s="1">
        <v>114</v>
      </c>
      <c r="G12" s="1">
        <v>360</v>
      </c>
      <c r="H12" s="1">
        <v>646</v>
      </c>
      <c r="I12" s="1">
        <v>30</v>
      </c>
      <c r="J12" s="1">
        <v>600</v>
      </c>
      <c r="K12" s="1">
        <v>216</v>
      </c>
      <c r="L12" s="1">
        <v>420</v>
      </c>
      <c r="M12" s="1"/>
      <c r="N12" s="1">
        <v>360</v>
      </c>
      <c r="O12" s="1">
        <v>600</v>
      </c>
      <c r="P12" s="1"/>
      <c r="Q12" s="1"/>
      <c r="R12" s="1">
        <f>SUM(C12:Q12)</f>
        <v>3526</v>
      </c>
    </row>
    <row r="13" spans="1:21" s="7" customFormat="1" ht="21.75" customHeight="1" x14ac:dyDescent="0.25">
      <c r="A13" s="1">
        <v>10</v>
      </c>
      <c r="B13" s="9" t="s">
        <v>41</v>
      </c>
      <c r="C13" s="1">
        <v>38</v>
      </c>
      <c r="D13" s="1">
        <v>180</v>
      </c>
      <c r="E13" s="1">
        <v>76</v>
      </c>
      <c r="F13" s="1">
        <v>90</v>
      </c>
      <c r="G13" s="1">
        <v>240</v>
      </c>
      <c r="H13" s="1"/>
      <c r="I13" s="1">
        <v>45</v>
      </c>
      <c r="J13" s="1">
        <v>1000</v>
      </c>
      <c r="K13" s="1">
        <v>270</v>
      </c>
      <c r="L13" s="1">
        <v>420</v>
      </c>
      <c r="M13" s="1"/>
      <c r="N13" s="1">
        <v>304</v>
      </c>
      <c r="O13" s="1">
        <v>800</v>
      </c>
      <c r="P13" s="1"/>
      <c r="Q13" s="1"/>
      <c r="R13" s="1">
        <f>SUM(C13:Q13)</f>
        <v>3463</v>
      </c>
    </row>
    <row r="14" spans="1:21" s="7" customFormat="1" ht="21.75" customHeight="1" x14ac:dyDescent="0.25">
      <c r="A14" s="1" t="s">
        <v>34</v>
      </c>
      <c r="B14" s="9" t="s">
        <v>42</v>
      </c>
      <c r="C14" s="1">
        <v>38</v>
      </c>
      <c r="D14" s="1">
        <v>180</v>
      </c>
      <c r="E14" s="1">
        <v>76</v>
      </c>
      <c r="F14" s="1">
        <v>90</v>
      </c>
      <c r="G14" s="1">
        <v>240</v>
      </c>
      <c r="H14" s="1"/>
      <c r="I14" s="1">
        <v>45</v>
      </c>
      <c r="J14" s="1">
        <v>1000</v>
      </c>
      <c r="K14" s="1">
        <v>270</v>
      </c>
      <c r="L14" s="1">
        <v>420</v>
      </c>
      <c r="M14" s="1"/>
      <c r="N14" s="1">
        <v>304</v>
      </c>
      <c r="O14" s="1">
        <v>800</v>
      </c>
      <c r="P14" s="1"/>
      <c r="Q14" s="1"/>
      <c r="R14" s="1">
        <f>SUM(C14:Q14)</f>
        <v>3463</v>
      </c>
    </row>
    <row r="15" spans="1:21" s="7" customFormat="1" ht="21.75" customHeight="1" x14ac:dyDescent="0.25">
      <c r="A15" s="1">
        <v>12</v>
      </c>
      <c r="B15" s="9" t="s">
        <v>43</v>
      </c>
      <c r="C15" s="1"/>
      <c r="D15" s="1">
        <v>120</v>
      </c>
      <c r="E15" s="1"/>
      <c r="F15" s="1">
        <v>114</v>
      </c>
      <c r="G15" s="1">
        <v>360</v>
      </c>
      <c r="H15" s="1">
        <v>646</v>
      </c>
      <c r="I15" s="1"/>
      <c r="J15" s="1">
        <v>600</v>
      </c>
      <c r="K15" s="1">
        <v>216</v>
      </c>
      <c r="L15" s="1">
        <v>420</v>
      </c>
      <c r="M15" s="1"/>
      <c r="N15" s="1">
        <v>360</v>
      </c>
      <c r="O15" s="1">
        <v>600</v>
      </c>
      <c r="P15" s="1"/>
      <c r="Q15" s="1"/>
      <c r="R15" s="1">
        <f>SUM(C15:Q15)</f>
        <v>3436</v>
      </c>
    </row>
    <row r="16" spans="1:21" s="7" customFormat="1" ht="21.75" customHeight="1" x14ac:dyDescent="0.25">
      <c r="A16" s="1">
        <v>13</v>
      </c>
      <c r="B16" s="9" t="s">
        <v>44</v>
      </c>
      <c r="C16" s="1"/>
      <c r="D16" s="1">
        <v>120</v>
      </c>
      <c r="E16" s="1">
        <v>76</v>
      </c>
      <c r="F16" s="1">
        <v>114</v>
      </c>
      <c r="G16" s="1">
        <v>240</v>
      </c>
      <c r="H16" s="1">
        <v>646</v>
      </c>
      <c r="I16" s="1"/>
      <c r="J16" s="1">
        <v>480</v>
      </c>
      <c r="K16" s="1">
        <v>342</v>
      </c>
      <c r="L16" s="1">
        <v>420</v>
      </c>
      <c r="M16" s="1"/>
      <c r="N16" s="1">
        <v>216</v>
      </c>
      <c r="O16" s="1">
        <v>540</v>
      </c>
      <c r="P16" s="1"/>
      <c r="Q16" s="1"/>
      <c r="R16" s="1">
        <f>SUM(C16:Q16)</f>
        <v>3194</v>
      </c>
    </row>
    <row r="17" spans="1:18" s="7" customFormat="1" ht="21.75" customHeight="1" x14ac:dyDescent="0.25">
      <c r="A17" s="1" t="s">
        <v>34</v>
      </c>
      <c r="B17" s="9" t="s">
        <v>45</v>
      </c>
      <c r="C17" s="1"/>
      <c r="D17" s="1">
        <v>120</v>
      </c>
      <c r="E17" s="1">
        <v>76</v>
      </c>
      <c r="F17" s="1">
        <v>114</v>
      </c>
      <c r="G17" s="1">
        <v>240</v>
      </c>
      <c r="H17" s="1">
        <v>646</v>
      </c>
      <c r="I17" s="1"/>
      <c r="J17" s="1">
        <v>480</v>
      </c>
      <c r="K17" s="1">
        <v>342</v>
      </c>
      <c r="L17" s="1">
        <v>420</v>
      </c>
      <c r="M17" s="1"/>
      <c r="N17" s="1">
        <v>216</v>
      </c>
      <c r="O17" s="1">
        <v>540</v>
      </c>
      <c r="P17" s="1"/>
      <c r="Q17" s="1"/>
      <c r="R17" s="1">
        <f>SUM(C17:Q17)</f>
        <v>3194</v>
      </c>
    </row>
    <row r="18" spans="1:18" s="7" customFormat="1" ht="21.75" customHeight="1" x14ac:dyDescent="0.25">
      <c r="A18" s="1">
        <v>15</v>
      </c>
      <c r="B18" s="9" t="s">
        <v>46</v>
      </c>
      <c r="C18" s="1"/>
      <c r="D18" s="1">
        <v>120</v>
      </c>
      <c r="E18" s="1">
        <v>60</v>
      </c>
      <c r="F18" s="1">
        <v>90</v>
      </c>
      <c r="G18" s="1">
        <v>240</v>
      </c>
      <c r="H18" s="1">
        <v>408</v>
      </c>
      <c r="I18" s="1">
        <v>38</v>
      </c>
      <c r="J18" s="1">
        <v>600</v>
      </c>
      <c r="K18" s="1">
        <v>216</v>
      </c>
      <c r="L18" s="1">
        <v>336</v>
      </c>
      <c r="M18" s="1"/>
      <c r="N18" s="1">
        <v>240</v>
      </c>
      <c r="O18" s="1">
        <v>480</v>
      </c>
      <c r="P18" s="1"/>
      <c r="Q18" s="1"/>
      <c r="R18" s="1">
        <f>SUM(C18:Q18)</f>
        <v>2828</v>
      </c>
    </row>
    <row r="19" spans="1:18" s="7" customFormat="1" ht="21.75" customHeight="1" x14ac:dyDescent="0.25">
      <c r="A19" s="1" t="s">
        <v>34</v>
      </c>
      <c r="B19" s="9" t="s">
        <v>47</v>
      </c>
      <c r="C19" s="1"/>
      <c r="D19" s="1">
        <v>120</v>
      </c>
      <c r="E19" s="1">
        <v>60</v>
      </c>
      <c r="F19" s="1">
        <v>90</v>
      </c>
      <c r="G19" s="1">
        <v>240</v>
      </c>
      <c r="H19" s="1">
        <v>408</v>
      </c>
      <c r="I19" s="1">
        <v>38</v>
      </c>
      <c r="J19" s="1">
        <v>600</v>
      </c>
      <c r="K19" s="1">
        <v>216</v>
      </c>
      <c r="L19" s="1">
        <v>336</v>
      </c>
      <c r="M19" s="1"/>
      <c r="N19" s="1">
        <v>240</v>
      </c>
      <c r="O19" s="1">
        <v>480</v>
      </c>
      <c r="P19" s="1"/>
      <c r="Q19" s="1"/>
      <c r="R19" s="1">
        <f>SUM(C19:Q19)</f>
        <v>2828</v>
      </c>
    </row>
    <row r="20" spans="1:18" s="7" customFormat="1" ht="21.75" customHeight="1" x14ac:dyDescent="0.25">
      <c r="A20" s="1">
        <v>17</v>
      </c>
      <c r="B20" s="9" t="s">
        <v>48</v>
      </c>
      <c r="C20" s="1"/>
      <c r="D20" s="1"/>
      <c r="E20" s="1">
        <v>24</v>
      </c>
      <c r="F20" s="1">
        <v>72</v>
      </c>
      <c r="G20" s="1">
        <v>192</v>
      </c>
      <c r="H20" s="1">
        <v>459</v>
      </c>
      <c r="I20" s="1">
        <v>38</v>
      </c>
      <c r="J20" s="1">
        <v>480</v>
      </c>
      <c r="K20" s="1">
        <v>270</v>
      </c>
      <c r="L20" s="1">
        <v>420</v>
      </c>
      <c r="M20" s="1"/>
      <c r="N20" s="1">
        <v>240</v>
      </c>
      <c r="O20" s="1">
        <v>540</v>
      </c>
      <c r="P20" s="1"/>
      <c r="Q20" s="1"/>
      <c r="R20" s="1">
        <f>SUM(C20:Q20)</f>
        <v>2735</v>
      </c>
    </row>
    <row r="21" spans="1:18" s="7" customFormat="1" ht="21.75" customHeight="1" x14ac:dyDescent="0.25">
      <c r="A21" s="1" t="s">
        <v>34</v>
      </c>
      <c r="B21" s="9" t="s">
        <v>49</v>
      </c>
      <c r="C21" s="1"/>
      <c r="D21" s="1"/>
      <c r="E21" s="1">
        <v>24</v>
      </c>
      <c r="F21" s="1">
        <v>72</v>
      </c>
      <c r="G21" s="1">
        <v>192</v>
      </c>
      <c r="H21" s="1">
        <v>459</v>
      </c>
      <c r="I21" s="1">
        <v>38</v>
      </c>
      <c r="J21" s="1">
        <v>480</v>
      </c>
      <c r="K21" s="1">
        <v>270</v>
      </c>
      <c r="L21" s="1">
        <v>420</v>
      </c>
      <c r="M21" s="1"/>
      <c r="N21" s="1">
        <v>240</v>
      </c>
      <c r="O21" s="1">
        <v>540</v>
      </c>
      <c r="P21" s="1"/>
      <c r="Q21" s="1"/>
      <c r="R21" s="1">
        <f>SUM(C21:Q21)</f>
        <v>2735</v>
      </c>
    </row>
    <row r="22" spans="1:18" s="7" customFormat="1" ht="21.75" customHeight="1" x14ac:dyDescent="0.25">
      <c r="A22" s="1">
        <v>19</v>
      </c>
      <c r="B22" s="9" t="s">
        <v>50</v>
      </c>
      <c r="C22" s="1"/>
      <c r="D22" s="1">
        <v>152</v>
      </c>
      <c r="E22" s="1">
        <v>48</v>
      </c>
      <c r="F22" s="1">
        <v>72</v>
      </c>
      <c r="G22" s="1">
        <v>192</v>
      </c>
      <c r="H22" s="1">
        <v>306</v>
      </c>
      <c r="I22" s="1">
        <v>30</v>
      </c>
      <c r="J22" s="1">
        <v>360</v>
      </c>
      <c r="K22" s="1">
        <v>270</v>
      </c>
      <c r="L22" s="1">
        <v>336</v>
      </c>
      <c r="M22" s="1"/>
      <c r="N22" s="1">
        <v>192</v>
      </c>
      <c r="O22" s="1">
        <v>360</v>
      </c>
      <c r="P22" s="1"/>
      <c r="Q22" s="1"/>
      <c r="R22" s="1">
        <f>SUM(C22:Q22)</f>
        <v>2318</v>
      </c>
    </row>
    <row r="23" spans="1:18" s="7" customFormat="1" ht="21.75" customHeight="1" x14ac:dyDescent="0.25">
      <c r="A23" s="1">
        <v>20</v>
      </c>
      <c r="B23" s="9" t="s">
        <v>51</v>
      </c>
      <c r="C23" s="1"/>
      <c r="D23" s="1"/>
      <c r="E23" s="1">
        <v>60</v>
      </c>
      <c r="F23" s="1">
        <v>36</v>
      </c>
      <c r="G23" s="1">
        <v>192</v>
      </c>
      <c r="H23" s="1">
        <v>510</v>
      </c>
      <c r="I23" s="1">
        <v>24</v>
      </c>
      <c r="J23" s="1">
        <v>240</v>
      </c>
      <c r="K23" s="1"/>
      <c r="L23" s="1">
        <v>336</v>
      </c>
      <c r="M23" s="1"/>
      <c r="N23" s="1">
        <v>192</v>
      </c>
      <c r="O23" s="1">
        <v>480</v>
      </c>
      <c r="P23" s="1"/>
      <c r="Q23" s="1"/>
      <c r="R23" s="1">
        <f>SUM(C23:Q23)</f>
        <v>2070</v>
      </c>
    </row>
    <row r="24" spans="1:18" s="7" customFormat="1" ht="21.75" customHeight="1" x14ac:dyDescent="0.25">
      <c r="A24" s="1" t="s">
        <v>34</v>
      </c>
      <c r="B24" s="9" t="s">
        <v>52</v>
      </c>
      <c r="C24" s="1"/>
      <c r="D24" s="1"/>
      <c r="E24" s="1">
        <v>60</v>
      </c>
      <c r="F24" s="1">
        <v>36</v>
      </c>
      <c r="G24" s="1">
        <v>192</v>
      </c>
      <c r="H24" s="1">
        <v>510</v>
      </c>
      <c r="I24" s="1">
        <v>24</v>
      </c>
      <c r="J24" s="1">
        <v>240</v>
      </c>
      <c r="K24" s="1"/>
      <c r="L24" s="1">
        <v>336</v>
      </c>
      <c r="M24" s="1"/>
      <c r="N24" s="1">
        <v>192</v>
      </c>
      <c r="O24" s="1">
        <v>480</v>
      </c>
      <c r="P24" s="1"/>
      <c r="Q24" s="1"/>
      <c r="R24" s="1">
        <f>SUM(C24:Q24)</f>
        <v>2070</v>
      </c>
    </row>
    <row r="25" spans="1:18" s="7" customFormat="1" ht="21.75" customHeight="1" x14ac:dyDescent="0.25">
      <c r="A25" s="1">
        <v>22</v>
      </c>
      <c r="B25" s="9" t="s">
        <v>53</v>
      </c>
      <c r="C25" s="1"/>
      <c r="D25" s="1">
        <v>152</v>
      </c>
      <c r="E25" s="1">
        <v>48</v>
      </c>
      <c r="F25" s="1">
        <v>72</v>
      </c>
      <c r="G25" s="1">
        <v>192</v>
      </c>
      <c r="H25" s="1">
        <v>306</v>
      </c>
      <c r="I25" s="1">
        <v>30</v>
      </c>
      <c r="J25" s="1"/>
      <c r="K25" s="1">
        <v>270</v>
      </c>
      <c r="L25" s="1">
        <v>336</v>
      </c>
      <c r="M25" s="1"/>
      <c r="N25" s="1">
        <v>192</v>
      </c>
      <c r="O25" s="1">
        <v>360</v>
      </c>
      <c r="P25" s="1"/>
      <c r="Q25" s="1"/>
      <c r="R25" s="1">
        <f>SUM(C25:Q25)</f>
        <v>1958</v>
      </c>
    </row>
    <row r="26" spans="1:18" s="7" customFormat="1" ht="21.75" customHeight="1" x14ac:dyDescent="0.25">
      <c r="A26" s="1">
        <v>23</v>
      </c>
      <c r="B26" s="2" t="s">
        <v>54</v>
      </c>
      <c r="C26" s="1"/>
      <c r="D26" s="1">
        <v>96</v>
      </c>
      <c r="E26" s="1">
        <v>60</v>
      </c>
      <c r="F26" s="1">
        <v>90</v>
      </c>
      <c r="G26" s="1">
        <v>144</v>
      </c>
      <c r="H26" s="1">
        <v>408</v>
      </c>
      <c r="I26" s="1"/>
      <c r="J26" s="1">
        <v>240</v>
      </c>
      <c r="K26" s="1">
        <v>216</v>
      </c>
      <c r="L26" s="1">
        <v>168</v>
      </c>
      <c r="M26" s="1"/>
      <c r="N26" s="1"/>
      <c r="O26" s="1">
        <v>360</v>
      </c>
      <c r="P26" s="1"/>
      <c r="Q26" s="1"/>
      <c r="R26" s="1">
        <f>SUM(C26:Q26)</f>
        <v>1782</v>
      </c>
    </row>
    <row r="27" spans="1:18" s="7" customFormat="1" ht="21.75" customHeight="1" x14ac:dyDescent="0.25">
      <c r="A27" s="1">
        <v>24</v>
      </c>
      <c r="B27" s="9" t="s">
        <v>55</v>
      </c>
      <c r="C27" s="1"/>
      <c r="D27" s="1">
        <v>96</v>
      </c>
      <c r="E27" s="1">
        <v>24</v>
      </c>
      <c r="F27" s="1">
        <v>54</v>
      </c>
      <c r="G27" s="1">
        <v>96</v>
      </c>
      <c r="H27" s="1">
        <v>306</v>
      </c>
      <c r="I27" s="1">
        <v>12</v>
      </c>
      <c r="J27" s="1">
        <v>360</v>
      </c>
      <c r="K27" s="1"/>
      <c r="L27" s="1">
        <v>252</v>
      </c>
      <c r="M27" s="1"/>
      <c r="N27" s="1">
        <v>192</v>
      </c>
      <c r="O27" s="1">
        <v>360</v>
      </c>
      <c r="P27" s="1"/>
      <c r="Q27" s="1"/>
      <c r="R27" s="1">
        <f>SUM(C27:Q27)</f>
        <v>1752</v>
      </c>
    </row>
    <row r="28" spans="1:18" s="7" customFormat="1" ht="21.75" customHeight="1" x14ac:dyDescent="0.25">
      <c r="A28" s="1">
        <v>25</v>
      </c>
      <c r="B28" s="9" t="s">
        <v>56</v>
      </c>
      <c r="C28" s="1"/>
      <c r="D28" s="1">
        <v>96</v>
      </c>
      <c r="E28" s="1">
        <v>24</v>
      </c>
      <c r="F28" s="1">
        <v>54</v>
      </c>
      <c r="G28" s="1">
        <v>96</v>
      </c>
      <c r="H28" s="1">
        <v>306</v>
      </c>
      <c r="I28" s="1"/>
      <c r="J28" s="1">
        <v>360</v>
      </c>
      <c r="K28" s="1"/>
      <c r="L28" s="1">
        <v>252</v>
      </c>
      <c r="M28" s="1"/>
      <c r="N28" s="1">
        <v>192</v>
      </c>
      <c r="O28" s="1">
        <v>360</v>
      </c>
      <c r="P28" s="1"/>
      <c r="Q28" s="1"/>
      <c r="R28" s="1">
        <f>SUM(C28:Q28)</f>
        <v>1740</v>
      </c>
    </row>
    <row r="29" spans="1:18" s="7" customFormat="1" ht="21.75" customHeight="1" x14ac:dyDescent="0.25">
      <c r="A29" s="1">
        <v>26</v>
      </c>
      <c r="B29" s="9" t="s">
        <v>57</v>
      </c>
      <c r="C29" s="1"/>
      <c r="D29" s="1">
        <v>152</v>
      </c>
      <c r="E29" s="1"/>
      <c r="F29" s="1">
        <v>54</v>
      </c>
      <c r="G29" s="1">
        <v>96</v>
      </c>
      <c r="H29" s="1">
        <v>408</v>
      </c>
      <c r="I29" s="1">
        <v>12</v>
      </c>
      <c r="J29" s="1">
        <v>240</v>
      </c>
      <c r="K29" s="1">
        <v>216</v>
      </c>
      <c r="L29" s="1">
        <v>168</v>
      </c>
      <c r="M29" s="1"/>
      <c r="N29" s="1"/>
      <c r="O29" s="1">
        <v>360</v>
      </c>
      <c r="P29" s="1"/>
      <c r="Q29" s="1"/>
      <c r="R29" s="1">
        <f>SUM(C29:Q29)</f>
        <v>1706</v>
      </c>
    </row>
    <row r="30" spans="1:18" s="7" customFormat="1" ht="21.75" customHeight="1" x14ac:dyDescent="0.25">
      <c r="A30" s="1">
        <v>27</v>
      </c>
      <c r="B30" s="9" t="s">
        <v>58</v>
      </c>
      <c r="C30" s="1"/>
      <c r="D30" s="1">
        <v>48</v>
      </c>
      <c r="E30" s="1">
        <v>48</v>
      </c>
      <c r="F30" s="1">
        <v>36</v>
      </c>
      <c r="G30" s="1">
        <v>144</v>
      </c>
      <c r="H30" s="1">
        <v>306</v>
      </c>
      <c r="I30" s="1">
        <v>12</v>
      </c>
      <c r="J30" s="1">
        <v>360</v>
      </c>
      <c r="K30" s="1">
        <v>216</v>
      </c>
      <c r="L30" s="1">
        <v>168</v>
      </c>
      <c r="M30" s="1"/>
      <c r="N30" s="1"/>
      <c r="O30" s="1">
        <v>360</v>
      </c>
      <c r="P30" s="1"/>
      <c r="Q30" s="1"/>
      <c r="R30" s="1">
        <f>SUM(C30:Q30)</f>
        <v>1698</v>
      </c>
    </row>
    <row r="31" spans="1:18" s="7" customFormat="1" ht="21.75" customHeight="1" x14ac:dyDescent="0.25">
      <c r="A31" s="1" t="s">
        <v>34</v>
      </c>
      <c r="B31" s="9" t="s">
        <v>59</v>
      </c>
      <c r="C31" s="1"/>
      <c r="D31" s="1">
        <v>48</v>
      </c>
      <c r="E31" s="1">
        <v>48</v>
      </c>
      <c r="F31" s="1">
        <v>36</v>
      </c>
      <c r="G31" s="1">
        <v>144</v>
      </c>
      <c r="H31" s="1">
        <v>306</v>
      </c>
      <c r="I31" s="1">
        <v>12</v>
      </c>
      <c r="J31" s="1">
        <v>360</v>
      </c>
      <c r="K31" s="1">
        <v>216</v>
      </c>
      <c r="L31" s="1">
        <v>168</v>
      </c>
      <c r="M31" s="1"/>
      <c r="N31" s="1"/>
      <c r="O31" s="1">
        <v>360</v>
      </c>
      <c r="P31" s="1"/>
      <c r="Q31" s="1"/>
      <c r="R31" s="1">
        <f>SUM(C31:Q31)</f>
        <v>1698</v>
      </c>
    </row>
    <row r="32" spans="1:18" s="7" customFormat="1" ht="21.75" customHeight="1" x14ac:dyDescent="0.25">
      <c r="A32" s="1">
        <v>29</v>
      </c>
      <c r="B32" s="9" t="s">
        <v>60</v>
      </c>
      <c r="C32" s="1">
        <v>30</v>
      </c>
      <c r="D32" s="1">
        <v>72</v>
      </c>
      <c r="E32" s="1">
        <v>60</v>
      </c>
      <c r="F32" s="1">
        <v>54</v>
      </c>
      <c r="G32" s="1">
        <v>144</v>
      </c>
      <c r="H32" s="1">
        <v>306</v>
      </c>
      <c r="I32" s="1">
        <v>24</v>
      </c>
      <c r="J32" s="1">
        <v>240</v>
      </c>
      <c r="K32" s="1">
        <v>108</v>
      </c>
      <c r="L32" s="1">
        <v>252</v>
      </c>
      <c r="M32" s="1"/>
      <c r="N32" s="1">
        <v>144</v>
      </c>
      <c r="O32" s="1"/>
      <c r="P32" s="1">
        <v>135</v>
      </c>
      <c r="Q32" s="1"/>
      <c r="R32" s="1">
        <f>SUM(C32:Q32)</f>
        <v>1569</v>
      </c>
    </row>
    <row r="33" spans="1:18" s="7" customFormat="1" ht="21.75" customHeight="1" x14ac:dyDescent="0.25">
      <c r="A33" s="1">
        <v>30</v>
      </c>
      <c r="B33" s="9" t="s">
        <v>61</v>
      </c>
      <c r="C33" s="1"/>
      <c r="D33" s="1"/>
      <c r="E33" s="1"/>
      <c r="F33" s="1">
        <v>36</v>
      </c>
      <c r="G33" s="1">
        <v>48</v>
      </c>
      <c r="H33" s="1">
        <v>408</v>
      </c>
      <c r="I33" s="1"/>
      <c r="J33" s="1">
        <v>360</v>
      </c>
      <c r="K33" s="1"/>
      <c r="L33" s="1">
        <v>168</v>
      </c>
      <c r="M33" s="1"/>
      <c r="N33" s="1">
        <v>192</v>
      </c>
      <c r="O33" s="1"/>
      <c r="P33" s="1">
        <v>150</v>
      </c>
      <c r="Q33" s="1"/>
      <c r="R33" s="1">
        <f>SUM(C33:Q33)</f>
        <v>1362</v>
      </c>
    </row>
    <row r="34" spans="1:18" s="7" customFormat="1" ht="21.75" customHeight="1" x14ac:dyDescent="0.25">
      <c r="A34" s="1">
        <v>31</v>
      </c>
      <c r="B34" s="9" t="s">
        <v>62</v>
      </c>
      <c r="C34" s="1">
        <v>30</v>
      </c>
      <c r="D34" s="1">
        <v>48</v>
      </c>
      <c r="E34" s="1">
        <v>48</v>
      </c>
      <c r="F34" s="1">
        <v>36</v>
      </c>
      <c r="G34" s="1">
        <v>192</v>
      </c>
      <c r="H34" s="1">
        <v>306</v>
      </c>
      <c r="I34" s="1">
        <v>24</v>
      </c>
      <c r="J34" s="1">
        <v>240</v>
      </c>
      <c r="K34" s="1">
        <v>162</v>
      </c>
      <c r="L34" s="1">
        <v>168</v>
      </c>
      <c r="M34" s="1"/>
      <c r="N34" s="1"/>
      <c r="O34" s="1"/>
      <c r="P34" s="1">
        <v>81</v>
      </c>
      <c r="Q34" s="1"/>
      <c r="R34" s="1">
        <f>SUM(C34:Q34)</f>
        <v>1335</v>
      </c>
    </row>
    <row r="35" spans="1:18" s="7" customFormat="1" ht="21.75" customHeight="1" x14ac:dyDescent="0.25">
      <c r="A35" s="1">
        <v>32</v>
      </c>
      <c r="B35" s="2" t="s">
        <v>63</v>
      </c>
      <c r="C35" s="1"/>
      <c r="D35" s="1"/>
      <c r="E35" s="1"/>
      <c r="F35" s="1"/>
      <c r="G35" s="1">
        <v>48</v>
      </c>
      <c r="H35" s="1">
        <v>408</v>
      </c>
      <c r="I35" s="1"/>
      <c r="J35" s="1">
        <v>360</v>
      </c>
      <c r="K35" s="1"/>
      <c r="L35" s="1">
        <v>168</v>
      </c>
      <c r="M35" s="1"/>
      <c r="N35" s="1">
        <v>192</v>
      </c>
      <c r="O35" s="1"/>
      <c r="P35" s="1">
        <v>150</v>
      </c>
      <c r="Q35" s="1"/>
      <c r="R35" s="1">
        <f>SUM(C35:Q35)</f>
        <v>1326</v>
      </c>
    </row>
    <row r="36" spans="1:18" s="7" customFormat="1" ht="21.75" customHeight="1" x14ac:dyDescent="0.25">
      <c r="A36" s="1">
        <v>33</v>
      </c>
      <c r="B36" s="2" t="s">
        <v>64</v>
      </c>
      <c r="C36" s="1"/>
      <c r="D36" s="1">
        <v>96</v>
      </c>
      <c r="E36" s="1">
        <v>24</v>
      </c>
      <c r="F36" s="1">
        <v>36</v>
      </c>
      <c r="G36" s="1">
        <v>96</v>
      </c>
      <c r="H36" s="1">
        <v>204</v>
      </c>
      <c r="I36" s="1"/>
      <c r="J36" s="1">
        <v>240</v>
      </c>
      <c r="K36" s="1">
        <v>108</v>
      </c>
      <c r="L36" s="1">
        <v>168</v>
      </c>
      <c r="M36" s="1"/>
      <c r="N36" s="1">
        <v>144</v>
      </c>
      <c r="O36" s="1"/>
      <c r="P36" s="1">
        <v>81</v>
      </c>
      <c r="Q36" s="1"/>
      <c r="R36" s="1">
        <f>SUM(C36:Q36)</f>
        <v>1197</v>
      </c>
    </row>
    <row r="37" spans="1:18" s="7" customFormat="1" ht="21.75" customHeight="1" x14ac:dyDescent="0.25">
      <c r="A37" s="1">
        <v>34</v>
      </c>
      <c r="B37" s="9" t="s">
        <v>65</v>
      </c>
      <c r="C37" s="1"/>
      <c r="D37" s="1"/>
      <c r="E37" s="1">
        <v>12</v>
      </c>
      <c r="F37" s="1">
        <v>18</v>
      </c>
      <c r="G37" s="1">
        <v>48</v>
      </c>
      <c r="H37" s="1">
        <v>306</v>
      </c>
      <c r="I37" s="1"/>
      <c r="J37" s="1">
        <v>240</v>
      </c>
      <c r="K37" s="1"/>
      <c r="L37" s="1">
        <v>252</v>
      </c>
      <c r="M37" s="1"/>
      <c r="N37" s="1">
        <v>144</v>
      </c>
      <c r="O37" s="1"/>
      <c r="P37" s="1">
        <v>114</v>
      </c>
      <c r="Q37" s="1">
        <v>50</v>
      </c>
      <c r="R37" s="1">
        <f>SUM(C37:Q37)</f>
        <v>1184</v>
      </c>
    </row>
    <row r="38" spans="1:18" s="7" customFormat="1" ht="21.75" customHeight="1" x14ac:dyDescent="0.25">
      <c r="A38" s="1" t="s">
        <v>34</v>
      </c>
      <c r="B38" s="9" t="s">
        <v>66</v>
      </c>
      <c r="C38" s="1"/>
      <c r="D38" s="1"/>
      <c r="E38" s="1">
        <v>12</v>
      </c>
      <c r="F38" s="1">
        <v>18</v>
      </c>
      <c r="G38" s="1">
        <v>48</v>
      </c>
      <c r="H38" s="1">
        <v>306</v>
      </c>
      <c r="I38" s="1"/>
      <c r="J38" s="1">
        <v>240</v>
      </c>
      <c r="K38" s="1"/>
      <c r="L38" s="1">
        <v>252</v>
      </c>
      <c r="M38" s="1"/>
      <c r="N38" s="1">
        <v>144</v>
      </c>
      <c r="O38" s="1"/>
      <c r="P38" s="1">
        <v>114</v>
      </c>
      <c r="Q38" s="1">
        <v>50</v>
      </c>
      <c r="R38" s="1">
        <f>SUM(C38:Q38)</f>
        <v>1184</v>
      </c>
    </row>
    <row r="39" spans="1:18" s="7" customFormat="1" ht="21.75" customHeight="1" x14ac:dyDescent="0.25">
      <c r="A39" s="1">
        <v>36</v>
      </c>
      <c r="B39" s="9" t="s">
        <v>67</v>
      </c>
      <c r="C39" s="1"/>
      <c r="D39" s="1">
        <v>96</v>
      </c>
      <c r="E39" s="1">
        <v>24</v>
      </c>
      <c r="F39" s="1">
        <v>36</v>
      </c>
      <c r="G39" s="1">
        <v>96</v>
      </c>
      <c r="H39" s="1">
        <v>204</v>
      </c>
      <c r="I39" s="1"/>
      <c r="J39" s="1">
        <v>240</v>
      </c>
      <c r="K39" s="1">
        <v>108</v>
      </c>
      <c r="L39" s="1">
        <v>168</v>
      </c>
      <c r="M39" s="1"/>
      <c r="N39" s="1">
        <v>144</v>
      </c>
      <c r="O39" s="1"/>
      <c r="P39" s="1"/>
      <c r="Q39" s="1"/>
      <c r="R39" s="1">
        <f>SUM(C39:Q39)</f>
        <v>1116</v>
      </c>
    </row>
    <row r="40" spans="1:18" s="7" customFormat="1" ht="21.75" customHeight="1" x14ac:dyDescent="0.25">
      <c r="A40" s="1">
        <v>37</v>
      </c>
      <c r="B40" s="9" t="s">
        <v>68</v>
      </c>
      <c r="C40" s="1"/>
      <c r="D40" s="1">
        <v>72</v>
      </c>
      <c r="E40" s="1">
        <v>12</v>
      </c>
      <c r="F40" s="1">
        <v>18</v>
      </c>
      <c r="G40" s="1">
        <v>48</v>
      </c>
      <c r="H40" s="1">
        <v>306</v>
      </c>
      <c r="I40" s="1">
        <v>12</v>
      </c>
      <c r="J40" s="1">
        <v>240</v>
      </c>
      <c r="K40" s="1"/>
      <c r="L40" s="1"/>
      <c r="M40" s="1">
        <v>81</v>
      </c>
      <c r="N40" s="1">
        <v>144</v>
      </c>
      <c r="O40" s="1"/>
      <c r="P40" s="1"/>
      <c r="Q40" s="1"/>
      <c r="R40" s="1">
        <f>SUM(C40:Q40)</f>
        <v>933</v>
      </c>
    </row>
    <row r="41" spans="1:18" s="7" customFormat="1" ht="21.75" customHeight="1" x14ac:dyDescent="0.25">
      <c r="A41" s="1">
        <v>38</v>
      </c>
      <c r="B41" s="9" t="s">
        <v>69</v>
      </c>
      <c r="C41" s="1"/>
      <c r="D41" s="1"/>
      <c r="E41" s="1"/>
      <c r="F41" s="1"/>
      <c r="G41" s="1"/>
      <c r="H41" s="1"/>
      <c r="I41" s="1"/>
      <c r="J41" s="1">
        <v>900</v>
      </c>
      <c r="K41" s="1"/>
      <c r="L41" s="1"/>
      <c r="M41" s="1"/>
      <c r="N41" s="1"/>
      <c r="O41" s="1"/>
      <c r="P41" s="1"/>
      <c r="Q41" s="1"/>
      <c r="R41" s="1">
        <f>SUM(C41:Q41)</f>
        <v>900</v>
      </c>
    </row>
    <row r="42" spans="1:18" s="7" customFormat="1" ht="21.75" customHeight="1" x14ac:dyDescent="0.25">
      <c r="A42" s="1" t="s">
        <v>34</v>
      </c>
      <c r="B42" s="9" t="s">
        <v>70</v>
      </c>
      <c r="C42" s="1"/>
      <c r="D42" s="1"/>
      <c r="E42" s="1"/>
      <c r="F42" s="1"/>
      <c r="G42" s="1"/>
      <c r="H42" s="1"/>
      <c r="I42" s="1"/>
      <c r="J42" s="1">
        <v>900</v>
      </c>
      <c r="K42" s="1"/>
      <c r="L42" s="1"/>
      <c r="M42" s="1"/>
      <c r="N42" s="1"/>
      <c r="O42" s="1"/>
      <c r="P42" s="1"/>
      <c r="Q42" s="1"/>
      <c r="R42" s="1">
        <f>SUM(C42:Q42)</f>
        <v>900</v>
      </c>
    </row>
    <row r="43" spans="1:18" s="7" customFormat="1" ht="21.75" customHeight="1" x14ac:dyDescent="0.25">
      <c r="A43" s="1">
        <v>40</v>
      </c>
      <c r="B43" s="9" t="s">
        <v>71</v>
      </c>
      <c r="C43" s="1">
        <v>30</v>
      </c>
      <c r="D43" s="1">
        <v>48</v>
      </c>
      <c r="E43" s="1">
        <v>48</v>
      </c>
      <c r="F43" s="1"/>
      <c r="G43" s="1">
        <v>192</v>
      </c>
      <c r="H43" s="1">
        <v>306</v>
      </c>
      <c r="I43" s="1">
        <v>24</v>
      </c>
      <c r="J43" s="1">
        <v>240</v>
      </c>
      <c r="K43" s="1"/>
      <c r="L43" s="1"/>
      <c r="M43" s="1"/>
      <c r="N43" s="1"/>
      <c r="O43" s="1"/>
      <c r="P43" s="1"/>
      <c r="Q43" s="1"/>
      <c r="R43" s="1">
        <f>SUM(C43:Q43)</f>
        <v>888</v>
      </c>
    </row>
    <row r="44" spans="1:18" s="7" customFormat="1" ht="21.75" customHeight="1" x14ac:dyDescent="0.25">
      <c r="A44" s="1">
        <v>41</v>
      </c>
      <c r="B44" s="9" t="s">
        <v>72</v>
      </c>
      <c r="C44" s="1"/>
      <c r="D44" s="1">
        <v>48</v>
      </c>
      <c r="E44" s="1">
        <v>36</v>
      </c>
      <c r="F44" s="1">
        <v>36</v>
      </c>
      <c r="G44" s="1">
        <v>96</v>
      </c>
      <c r="H44" s="1">
        <v>306</v>
      </c>
      <c r="I44" s="1">
        <v>18</v>
      </c>
      <c r="J44" s="1">
        <v>240</v>
      </c>
      <c r="K44" s="1"/>
      <c r="L44" s="1"/>
      <c r="M44" s="1">
        <v>81</v>
      </c>
      <c r="N44" s="1"/>
      <c r="O44" s="1"/>
      <c r="P44" s="1"/>
      <c r="Q44" s="1"/>
      <c r="R44" s="1">
        <f>SUM(C44:Q44)</f>
        <v>861</v>
      </c>
    </row>
    <row r="45" spans="1:18" s="7" customFormat="1" ht="21.75" customHeight="1" x14ac:dyDescent="0.25">
      <c r="A45" s="1">
        <v>42</v>
      </c>
      <c r="B45" s="9" t="s">
        <v>73</v>
      </c>
      <c r="C45" s="1"/>
      <c r="D45" s="1">
        <v>48</v>
      </c>
      <c r="E45" s="1">
        <v>24</v>
      </c>
      <c r="F45" s="1">
        <v>54</v>
      </c>
      <c r="G45" s="1">
        <v>96</v>
      </c>
      <c r="H45" s="1"/>
      <c r="I45" s="1">
        <v>24</v>
      </c>
      <c r="J45" s="1">
        <v>240</v>
      </c>
      <c r="K45" s="1">
        <v>108</v>
      </c>
      <c r="L45" s="1">
        <v>252</v>
      </c>
      <c r="M45" s="1"/>
      <c r="N45" s="1"/>
      <c r="O45" s="1"/>
      <c r="P45" s="1"/>
      <c r="Q45" s="1"/>
      <c r="R45" s="1">
        <f>SUM(C45:Q45)</f>
        <v>846</v>
      </c>
    </row>
    <row r="46" spans="1:18" s="7" customFormat="1" ht="21.75" customHeight="1" x14ac:dyDescent="0.25">
      <c r="A46" s="1">
        <v>43</v>
      </c>
      <c r="B46" s="9" t="s">
        <v>74</v>
      </c>
      <c r="C46" s="1"/>
      <c r="D46" s="1"/>
      <c r="E46" s="1">
        <v>36</v>
      </c>
      <c r="F46" s="1">
        <v>72</v>
      </c>
      <c r="G46" s="1">
        <v>48</v>
      </c>
      <c r="H46" s="1"/>
      <c r="I46" s="1">
        <v>18</v>
      </c>
      <c r="J46" s="1">
        <v>480</v>
      </c>
      <c r="K46" s="1"/>
      <c r="L46" s="1">
        <v>84</v>
      </c>
      <c r="M46" s="1"/>
      <c r="N46" s="1"/>
      <c r="O46" s="1"/>
      <c r="P46" s="1"/>
      <c r="Q46" s="1"/>
      <c r="R46" s="1">
        <f>SUM(C46:Q46)</f>
        <v>738</v>
      </c>
    </row>
    <row r="47" spans="1:18" s="7" customFormat="1" ht="21.75" customHeight="1" x14ac:dyDescent="0.25">
      <c r="A47" s="1">
        <v>44</v>
      </c>
      <c r="B47" s="9" t="s">
        <v>75</v>
      </c>
      <c r="C47" s="1"/>
      <c r="D47" s="1">
        <v>72</v>
      </c>
      <c r="E47" s="1">
        <v>48</v>
      </c>
      <c r="F47" s="1">
        <v>18</v>
      </c>
      <c r="G47" s="1">
        <v>144</v>
      </c>
      <c r="H47" s="1"/>
      <c r="I47" s="1">
        <v>18</v>
      </c>
      <c r="J47" s="1"/>
      <c r="K47" s="1">
        <v>162</v>
      </c>
      <c r="L47" s="1">
        <v>252</v>
      </c>
      <c r="M47" s="1"/>
      <c r="N47" s="1"/>
      <c r="O47" s="1"/>
      <c r="P47" s="1"/>
      <c r="Q47" s="1"/>
      <c r="R47" s="1">
        <f>SUM(C47:Q47)</f>
        <v>714</v>
      </c>
    </row>
    <row r="48" spans="1:18" s="7" customFormat="1" ht="21.75" customHeight="1" x14ac:dyDescent="0.25">
      <c r="A48" s="1">
        <v>45</v>
      </c>
      <c r="B48" s="9" t="s">
        <v>76</v>
      </c>
      <c r="C48" s="1"/>
      <c r="D48" s="1"/>
      <c r="E48" s="1"/>
      <c r="F48" s="1"/>
      <c r="G48" s="1"/>
      <c r="H48" s="1">
        <v>204</v>
      </c>
      <c r="I48" s="1"/>
      <c r="J48" s="1"/>
      <c r="K48" s="1">
        <v>162</v>
      </c>
      <c r="L48" s="1"/>
      <c r="M48" s="1">
        <v>90</v>
      </c>
      <c r="N48" s="1">
        <v>144</v>
      </c>
      <c r="O48" s="1"/>
      <c r="P48" s="1">
        <v>81</v>
      </c>
      <c r="Q48" s="1">
        <v>24</v>
      </c>
      <c r="R48" s="1">
        <f>SUM(C48:Q48)</f>
        <v>705</v>
      </c>
    </row>
    <row r="49" spans="1:18" s="7" customFormat="1" ht="21.75" customHeight="1" x14ac:dyDescent="0.25">
      <c r="A49" s="1">
        <v>46</v>
      </c>
      <c r="B49" s="9" t="s">
        <v>77</v>
      </c>
      <c r="C49" s="11">
        <v>30</v>
      </c>
      <c r="D49" s="11">
        <v>72</v>
      </c>
      <c r="E49" s="11">
        <v>60</v>
      </c>
      <c r="F49" s="11">
        <v>54</v>
      </c>
      <c r="G49" s="11">
        <v>144</v>
      </c>
      <c r="H49" s="11">
        <v>306</v>
      </c>
      <c r="I49" s="11">
        <v>24</v>
      </c>
      <c r="J49" s="11"/>
      <c r="K49" s="11"/>
      <c r="L49" s="11"/>
      <c r="M49" s="11"/>
      <c r="N49" s="11"/>
      <c r="O49" s="11"/>
      <c r="P49" s="11"/>
      <c r="Q49" s="11"/>
      <c r="R49" s="1">
        <f>SUM(C49:Q49)</f>
        <v>690</v>
      </c>
    </row>
    <row r="50" spans="1:18" s="7" customFormat="1" ht="21.75" customHeight="1" x14ac:dyDescent="0.25">
      <c r="A50" s="1">
        <v>47</v>
      </c>
      <c r="B50" s="12" t="s">
        <v>78</v>
      </c>
      <c r="C50" s="1"/>
      <c r="D50" s="1"/>
      <c r="E50" s="1"/>
      <c r="F50" s="1"/>
      <c r="G50" s="1">
        <v>48</v>
      </c>
      <c r="H50" s="1">
        <v>204</v>
      </c>
      <c r="I50" s="1">
        <v>6</v>
      </c>
      <c r="J50" s="1"/>
      <c r="K50" s="1"/>
      <c r="L50" s="1">
        <v>168</v>
      </c>
      <c r="M50" s="1"/>
      <c r="N50" s="1">
        <v>144</v>
      </c>
      <c r="O50" s="1"/>
      <c r="P50" s="1">
        <v>72</v>
      </c>
      <c r="Q50" s="1">
        <v>30</v>
      </c>
      <c r="R50" s="1">
        <f>SUM(C50:Q50)</f>
        <v>672</v>
      </c>
    </row>
    <row r="51" spans="1:18" s="7" customFormat="1" ht="21.75" customHeight="1" x14ac:dyDescent="0.25">
      <c r="A51" s="1" t="s">
        <v>34</v>
      </c>
      <c r="B51" s="9" t="s">
        <v>79</v>
      </c>
      <c r="C51" s="1"/>
      <c r="D51" s="1"/>
      <c r="E51" s="1"/>
      <c r="F51" s="1"/>
      <c r="G51" s="1">
        <v>48</v>
      </c>
      <c r="H51" s="1">
        <v>204</v>
      </c>
      <c r="I51" s="1">
        <v>6</v>
      </c>
      <c r="J51" s="1"/>
      <c r="K51" s="1"/>
      <c r="L51" s="1">
        <v>168</v>
      </c>
      <c r="M51" s="1"/>
      <c r="N51" s="1">
        <v>144</v>
      </c>
      <c r="O51" s="1"/>
      <c r="P51" s="1">
        <v>72</v>
      </c>
      <c r="Q51" s="1">
        <v>30</v>
      </c>
      <c r="R51" s="1">
        <f>SUM(C51:Q51)</f>
        <v>672</v>
      </c>
    </row>
    <row r="52" spans="1:18" s="7" customFormat="1" ht="21.75" customHeight="1" x14ac:dyDescent="0.25">
      <c r="A52" s="1">
        <v>49</v>
      </c>
      <c r="B52" s="9" t="s">
        <v>80</v>
      </c>
      <c r="C52" s="1"/>
      <c r="D52" s="1"/>
      <c r="E52" s="1">
        <v>48</v>
      </c>
      <c r="F52" s="1">
        <v>18</v>
      </c>
      <c r="G52" s="1">
        <v>144</v>
      </c>
      <c r="H52" s="1"/>
      <c r="I52" s="1">
        <v>18</v>
      </c>
      <c r="J52" s="1"/>
      <c r="K52" s="1">
        <v>162</v>
      </c>
      <c r="L52" s="1">
        <v>252</v>
      </c>
      <c r="M52" s="1"/>
      <c r="N52" s="1"/>
      <c r="O52" s="1"/>
      <c r="P52" s="1"/>
      <c r="Q52" s="1"/>
      <c r="R52" s="1">
        <f>SUM(C52:Q52)</f>
        <v>642</v>
      </c>
    </row>
    <row r="53" spans="1:18" s="7" customFormat="1" ht="21.75" customHeight="1" x14ac:dyDescent="0.25">
      <c r="A53" s="1">
        <v>50</v>
      </c>
      <c r="B53" s="2" t="s">
        <v>81</v>
      </c>
      <c r="C53" s="1"/>
      <c r="D53" s="1"/>
      <c r="E53" s="1"/>
      <c r="F53" s="1"/>
      <c r="G53" s="1">
        <v>48</v>
      </c>
      <c r="H53" s="1"/>
      <c r="I53" s="1"/>
      <c r="J53" s="1">
        <v>480</v>
      </c>
      <c r="K53" s="1"/>
      <c r="L53" s="1">
        <v>84</v>
      </c>
      <c r="M53" s="1"/>
      <c r="N53" s="1"/>
      <c r="O53" s="1"/>
      <c r="P53" s="1"/>
      <c r="Q53" s="1"/>
      <c r="R53" s="1">
        <f>SUM(C53:Q53)</f>
        <v>612</v>
      </c>
    </row>
    <row r="54" spans="1:18" s="7" customFormat="1" ht="21.75" customHeight="1" x14ac:dyDescent="0.25">
      <c r="A54" s="1">
        <v>51</v>
      </c>
      <c r="B54" s="9" t="s">
        <v>82</v>
      </c>
      <c r="C54" s="1"/>
      <c r="D54" s="1">
        <v>96</v>
      </c>
      <c r="E54" s="1"/>
      <c r="F54" s="1"/>
      <c r="G54" s="1"/>
      <c r="H54" s="1">
        <v>408</v>
      </c>
      <c r="I54" s="1"/>
      <c r="J54" s="1"/>
      <c r="K54" s="1"/>
      <c r="L54" s="1"/>
      <c r="M54" s="1"/>
      <c r="N54" s="1"/>
      <c r="O54" s="1"/>
      <c r="P54" s="1">
        <v>72</v>
      </c>
      <c r="Q54" s="1"/>
      <c r="R54" s="1">
        <f>SUM(C54:Q54)</f>
        <v>576</v>
      </c>
    </row>
    <row r="55" spans="1:18" s="7" customFormat="1" ht="21.75" customHeight="1" x14ac:dyDescent="0.25">
      <c r="A55" s="1" t="s">
        <v>34</v>
      </c>
      <c r="B55" s="9" t="s">
        <v>83</v>
      </c>
      <c r="C55" s="1"/>
      <c r="D55" s="1">
        <v>48</v>
      </c>
      <c r="E55" s="1">
        <v>24</v>
      </c>
      <c r="F55" s="1">
        <v>54</v>
      </c>
      <c r="G55" s="1">
        <v>96</v>
      </c>
      <c r="H55" s="1"/>
      <c r="I55" s="1">
        <v>18</v>
      </c>
      <c r="J55" s="1"/>
      <c r="K55" s="1">
        <v>108</v>
      </c>
      <c r="L55" s="1">
        <v>84</v>
      </c>
      <c r="M55" s="1"/>
      <c r="N55" s="1">
        <v>144</v>
      </c>
      <c r="O55" s="1"/>
      <c r="P55" s="1"/>
      <c r="Q55" s="1"/>
      <c r="R55" s="1">
        <f>SUM(C55:Q55)</f>
        <v>576</v>
      </c>
    </row>
    <row r="56" spans="1:18" s="7" customFormat="1" ht="21.75" customHeight="1" x14ac:dyDescent="0.25">
      <c r="A56" s="1">
        <v>53</v>
      </c>
      <c r="B56" s="9" t="s">
        <v>84</v>
      </c>
      <c r="C56" s="1"/>
      <c r="D56" s="1"/>
      <c r="E56" s="1"/>
      <c r="F56" s="1"/>
      <c r="G56" s="1">
        <v>96</v>
      </c>
      <c r="H56" s="1">
        <v>459</v>
      </c>
      <c r="I56" s="1"/>
      <c r="J56" s="1"/>
      <c r="K56" s="1"/>
      <c r="L56" s="1"/>
      <c r="M56" s="1"/>
      <c r="N56" s="1"/>
      <c r="O56" s="1"/>
      <c r="P56" s="1"/>
      <c r="Q56" s="1"/>
      <c r="R56" s="1">
        <f>SUM(C56:Q56)</f>
        <v>555</v>
      </c>
    </row>
    <row r="57" spans="1:18" s="7" customFormat="1" ht="21.75" customHeight="1" x14ac:dyDescent="0.25">
      <c r="A57" s="1">
        <v>54</v>
      </c>
      <c r="B57" s="9" t="s">
        <v>85</v>
      </c>
      <c r="C57" s="1"/>
      <c r="D57" s="1"/>
      <c r="E57" s="1">
        <v>36</v>
      </c>
      <c r="F57" s="1"/>
      <c r="G57" s="1">
        <v>48</v>
      </c>
      <c r="H57" s="1">
        <v>204</v>
      </c>
      <c r="I57" s="1"/>
      <c r="J57" s="1"/>
      <c r="K57" s="1">
        <v>108</v>
      </c>
      <c r="L57" s="1"/>
      <c r="M57" s="1">
        <v>72</v>
      </c>
      <c r="N57" s="1"/>
      <c r="O57" s="1"/>
      <c r="P57" s="1">
        <v>72</v>
      </c>
      <c r="Q57" s="1"/>
      <c r="R57" s="1">
        <f>SUM(C57:Q57)</f>
        <v>540</v>
      </c>
    </row>
    <row r="58" spans="1:18" s="7" customFormat="1" ht="21.75" customHeight="1" x14ac:dyDescent="0.25">
      <c r="A58" s="1">
        <v>55</v>
      </c>
      <c r="B58" s="2" t="s">
        <v>86</v>
      </c>
      <c r="C58" s="1"/>
      <c r="D58" s="1"/>
      <c r="E58" s="1"/>
      <c r="F58" s="1"/>
      <c r="G58" s="1"/>
      <c r="H58" s="1"/>
      <c r="I58" s="1"/>
      <c r="J58" s="1">
        <v>480</v>
      </c>
      <c r="K58" s="1"/>
      <c r="L58" s="1"/>
      <c r="M58" s="1"/>
      <c r="N58" s="1"/>
      <c r="O58" s="1"/>
      <c r="P58" s="1"/>
      <c r="Q58" s="1"/>
      <c r="R58" s="1">
        <f>SUM(C58:Q58)</f>
        <v>480</v>
      </c>
    </row>
    <row r="59" spans="1:18" s="7" customFormat="1" ht="21.75" customHeight="1" x14ac:dyDescent="0.25">
      <c r="A59" s="1" t="s">
        <v>34</v>
      </c>
      <c r="B59" s="9" t="s">
        <v>87</v>
      </c>
      <c r="C59" s="1"/>
      <c r="D59" s="1"/>
      <c r="E59" s="1"/>
      <c r="F59" s="1"/>
      <c r="G59" s="1"/>
      <c r="H59" s="1"/>
      <c r="I59" s="1"/>
      <c r="J59" s="1">
        <v>480</v>
      </c>
      <c r="K59" s="1"/>
      <c r="L59" s="1"/>
      <c r="M59" s="1"/>
      <c r="N59" s="1"/>
      <c r="O59" s="1"/>
      <c r="P59" s="1"/>
      <c r="Q59" s="1"/>
      <c r="R59" s="1">
        <f>SUM(C59:Q59)</f>
        <v>480</v>
      </c>
    </row>
    <row r="60" spans="1:18" s="7" customFormat="1" ht="21.75" customHeight="1" x14ac:dyDescent="0.25">
      <c r="A60" s="1">
        <v>57</v>
      </c>
      <c r="B60" s="9" t="s">
        <v>88</v>
      </c>
      <c r="C60" s="1"/>
      <c r="D60" s="1">
        <v>24</v>
      </c>
      <c r="E60" s="1">
        <v>12</v>
      </c>
      <c r="F60" s="1">
        <v>72</v>
      </c>
      <c r="G60" s="1"/>
      <c r="H60" s="1"/>
      <c r="I60" s="1">
        <v>30</v>
      </c>
      <c r="J60" s="1"/>
      <c r="K60" s="1"/>
      <c r="L60" s="1">
        <v>336</v>
      </c>
      <c r="M60" s="1"/>
      <c r="N60" s="1"/>
      <c r="O60" s="1"/>
      <c r="P60" s="1"/>
      <c r="Q60" s="1"/>
      <c r="R60" s="1">
        <f>SUM(C60:Q60)</f>
        <v>474</v>
      </c>
    </row>
    <row r="61" spans="1:18" s="7" customFormat="1" ht="21.75" customHeight="1" x14ac:dyDescent="0.25">
      <c r="A61" s="1">
        <v>58</v>
      </c>
      <c r="B61" s="9" t="s">
        <v>89</v>
      </c>
      <c r="C61" s="1"/>
      <c r="D61" s="1"/>
      <c r="E61" s="1"/>
      <c r="F61" s="1"/>
      <c r="G61" s="1"/>
      <c r="H61" s="1">
        <v>459</v>
      </c>
      <c r="I61" s="1"/>
      <c r="J61" s="1"/>
      <c r="K61" s="1"/>
      <c r="L61" s="1"/>
      <c r="M61" s="1"/>
      <c r="N61" s="1"/>
      <c r="O61" s="1"/>
      <c r="P61" s="1"/>
      <c r="Q61" s="1"/>
      <c r="R61" s="1">
        <f>SUM(C61:Q61)</f>
        <v>459</v>
      </c>
    </row>
    <row r="62" spans="1:18" s="7" customFormat="1" ht="21.75" customHeight="1" x14ac:dyDescent="0.25">
      <c r="A62" s="1">
        <v>59</v>
      </c>
      <c r="B62" s="9" t="s">
        <v>90</v>
      </c>
      <c r="C62" s="1"/>
      <c r="D62" s="1"/>
      <c r="E62" s="1"/>
      <c r="F62" s="1"/>
      <c r="G62" s="1">
        <v>96</v>
      </c>
      <c r="H62" s="1"/>
      <c r="I62" s="1"/>
      <c r="J62" s="1"/>
      <c r="K62" s="1">
        <v>162</v>
      </c>
      <c r="L62" s="1">
        <v>168</v>
      </c>
      <c r="M62" s="1"/>
      <c r="N62" s="1"/>
      <c r="O62" s="1"/>
      <c r="P62" s="1"/>
      <c r="Q62" s="1">
        <v>30</v>
      </c>
      <c r="R62" s="1">
        <f>SUM(C62:Q62)</f>
        <v>456</v>
      </c>
    </row>
    <row r="63" spans="1:18" s="7" customFormat="1" ht="21.75" customHeight="1" x14ac:dyDescent="0.25">
      <c r="A63" s="1" t="s">
        <v>34</v>
      </c>
      <c r="B63" s="9" t="s">
        <v>91</v>
      </c>
      <c r="C63" s="1"/>
      <c r="D63" s="1"/>
      <c r="E63" s="1"/>
      <c r="F63" s="1">
        <v>36</v>
      </c>
      <c r="G63" s="1">
        <v>96</v>
      </c>
      <c r="H63" s="1"/>
      <c r="I63" s="1">
        <v>12</v>
      </c>
      <c r="J63" s="1">
        <v>240</v>
      </c>
      <c r="K63" s="1"/>
      <c r="L63" s="1"/>
      <c r="M63" s="1">
        <v>72</v>
      </c>
      <c r="N63" s="1"/>
      <c r="O63" s="1"/>
      <c r="P63" s="1"/>
      <c r="Q63" s="1"/>
      <c r="R63" s="1">
        <f>SUM(C63:Q63)</f>
        <v>456</v>
      </c>
    </row>
    <row r="64" spans="1:18" s="7" customFormat="1" ht="21.75" customHeight="1" x14ac:dyDescent="0.25">
      <c r="A64" s="1">
        <v>61</v>
      </c>
      <c r="B64" s="9" t="s">
        <v>92</v>
      </c>
      <c r="C64" s="1"/>
      <c r="D64" s="1"/>
      <c r="E64" s="1"/>
      <c r="F64" s="1"/>
      <c r="G64" s="1"/>
      <c r="H64" s="1">
        <v>306</v>
      </c>
      <c r="I64" s="1"/>
      <c r="J64" s="1"/>
      <c r="K64" s="1"/>
      <c r="L64" s="1"/>
      <c r="M64" s="1"/>
      <c r="N64" s="1"/>
      <c r="O64" s="1"/>
      <c r="P64" s="1">
        <v>135</v>
      </c>
      <c r="Q64" s="1"/>
      <c r="R64" s="1">
        <f>SUM(C64:Q64)</f>
        <v>441</v>
      </c>
    </row>
    <row r="65" spans="1:18" s="7" customFormat="1" ht="21.75" customHeight="1" x14ac:dyDescent="0.25">
      <c r="A65" s="1">
        <v>62</v>
      </c>
      <c r="B65" s="9" t="s">
        <v>93</v>
      </c>
      <c r="C65" s="1"/>
      <c r="D65" s="1"/>
      <c r="E65" s="1"/>
      <c r="F65" s="1">
        <v>72</v>
      </c>
      <c r="G65" s="1"/>
      <c r="H65" s="1"/>
      <c r="I65" s="1">
        <v>30</v>
      </c>
      <c r="J65" s="1"/>
      <c r="K65" s="1"/>
      <c r="L65" s="1">
        <v>336</v>
      </c>
      <c r="M65" s="1"/>
      <c r="N65" s="1"/>
      <c r="O65" s="1"/>
      <c r="P65" s="1"/>
      <c r="Q65" s="1"/>
      <c r="R65" s="1">
        <f>SUM(C65:Q65)</f>
        <v>438</v>
      </c>
    </row>
    <row r="66" spans="1:18" s="7" customFormat="1" ht="21.75" customHeight="1" x14ac:dyDescent="0.25">
      <c r="A66" s="1">
        <v>63</v>
      </c>
      <c r="B66" s="9" t="s">
        <v>94</v>
      </c>
      <c r="C66" s="1"/>
      <c r="D66" s="1">
        <v>24</v>
      </c>
      <c r="E66" s="1">
        <v>24</v>
      </c>
      <c r="F66" s="1">
        <v>18</v>
      </c>
      <c r="G66" s="1"/>
      <c r="H66" s="1"/>
      <c r="I66" s="1">
        <v>6</v>
      </c>
      <c r="J66" s="1"/>
      <c r="K66" s="1">
        <v>162</v>
      </c>
      <c r="L66" s="1">
        <v>84</v>
      </c>
      <c r="M66" s="1"/>
      <c r="N66" s="1"/>
      <c r="O66" s="1"/>
      <c r="P66" s="1">
        <v>72</v>
      </c>
      <c r="Q66" s="1">
        <v>35</v>
      </c>
      <c r="R66" s="1">
        <f>SUM(C66:Q66)</f>
        <v>425</v>
      </c>
    </row>
    <row r="67" spans="1:18" s="7" customFormat="1" ht="21.75" customHeight="1" x14ac:dyDescent="0.25">
      <c r="A67" s="1">
        <v>64</v>
      </c>
      <c r="B67" s="9" t="s">
        <v>95</v>
      </c>
      <c r="C67" s="1"/>
      <c r="D67" s="1"/>
      <c r="E67" s="1"/>
      <c r="F67" s="1"/>
      <c r="G67" s="1"/>
      <c r="H67" s="1">
        <v>408</v>
      </c>
      <c r="I67" s="1"/>
      <c r="J67" s="1"/>
      <c r="K67" s="1"/>
      <c r="L67" s="1"/>
      <c r="M67" s="1"/>
      <c r="N67" s="1"/>
      <c r="O67" s="1"/>
      <c r="P67" s="1"/>
      <c r="Q67" s="1"/>
      <c r="R67" s="1">
        <f>SUM(C67:Q67)</f>
        <v>408</v>
      </c>
    </row>
    <row r="68" spans="1:18" s="7" customFormat="1" ht="21.75" customHeight="1" x14ac:dyDescent="0.25">
      <c r="A68" s="1">
        <v>65</v>
      </c>
      <c r="B68" s="9" t="s">
        <v>96</v>
      </c>
      <c r="C68" s="1"/>
      <c r="D68" s="1"/>
      <c r="E68" s="1"/>
      <c r="F68" s="1"/>
      <c r="G68" s="1">
        <v>48</v>
      </c>
      <c r="H68" s="1">
        <v>204</v>
      </c>
      <c r="I68" s="1">
        <v>6</v>
      </c>
      <c r="J68" s="1"/>
      <c r="K68" s="1"/>
      <c r="L68" s="1">
        <v>84</v>
      </c>
      <c r="M68" s="1"/>
      <c r="N68" s="1"/>
      <c r="O68" s="1"/>
      <c r="P68" s="1"/>
      <c r="Q68" s="1">
        <v>30</v>
      </c>
      <c r="R68" s="1">
        <f>SUM(C68:Q68)</f>
        <v>372</v>
      </c>
    </row>
    <row r="69" spans="1:18" s="7" customFormat="1" ht="21.75" customHeight="1" x14ac:dyDescent="0.25">
      <c r="A69" s="1" t="s">
        <v>34</v>
      </c>
      <c r="B69" s="9" t="s">
        <v>97</v>
      </c>
      <c r="C69" s="1"/>
      <c r="D69" s="1"/>
      <c r="E69" s="1"/>
      <c r="F69" s="1"/>
      <c r="G69" s="1">
        <v>48</v>
      </c>
      <c r="H69" s="1">
        <v>204</v>
      </c>
      <c r="I69" s="1">
        <v>6</v>
      </c>
      <c r="J69" s="1"/>
      <c r="K69" s="1"/>
      <c r="L69" s="1">
        <v>84</v>
      </c>
      <c r="M69" s="1"/>
      <c r="N69" s="1"/>
      <c r="O69" s="1"/>
      <c r="P69" s="1"/>
      <c r="Q69" s="1">
        <v>30</v>
      </c>
      <c r="R69" s="1">
        <f>SUM(C69:Q69)</f>
        <v>372</v>
      </c>
    </row>
    <row r="70" spans="1:18" s="7" customFormat="1" ht="21.75" customHeight="1" x14ac:dyDescent="0.25">
      <c r="A70" s="1">
        <v>67</v>
      </c>
      <c r="B70" s="9" t="s">
        <v>98</v>
      </c>
      <c r="C70" s="1"/>
      <c r="D70" s="1">
        <v>48</v>
      </c>
      <c r="E70" s="1"/>
      <c r="F70" s="1"/>
      <c r="G70" s="1"/>
      <c r="H70" s="1"/>
      <c r="I70" s="1"/>
      <c r="J70" s="1">
        <v>240</v>
      </c>
      <c r="K70" s="1"/>
      <c r="L70" s="1"/>
      <c r="M70" s="1">
        <v>81</v>
      </c>
      <c r="N70" s="1"/>
      <c r="O70" s="1"/>
      <c r="P70" s="1"/>
      <c r="Q70" s="1"/>
      <c r="R70" s="1">
        <f>SUM(C70:Q70)</f>
        <v>369</v>
      </c>
    </row>
    <row r="71" spans="1:18" s="7" customFormat="1" ht="21.75" customHeight="1" x14ac:dyDescent="0.25">
      <c r="A71" s="1">
        <v>68</v>
      </c>
      <c r="B71" s="2" t="s">
        <v>99</v>
      </c>
      <c r="C71" s="1"/>
      <c r="D71" s="1"/>
      <c r="E71" s="1"/>
      <c r="F71" s="1"/>
      <c r="G71" s="1"/>
      <c r="H71" s="1"/>
      <c r="I71" s="1"/>
      <c r="J71" s="1"/>
      <c r="K71" s="1">
        <v>162</v>
      </c>
      <c r="L71" s="1">
        <v>168</v>
      </c>
      <c r="M71" s="1"/>
      <c r="N71" s="1"/>
      <c r="O71" s="1"/>
      <c r="P71" s="1"/>
      <c r="Q71" s="1">
        <v>30</v>
      </c>
      <c r="R71" s="1">
        <f>SUM(C71:Q71)</f>
        <v>360</v>
      </c>
    </row>
    <row r="72" spans="1:18" s="7" customFormat="1" ht="21.75" customHeight="1" x14ac:dyDescent="0.25">
      <c r="A72" s="1" t="s">
        <v>34</v>
      </c>
      <c r="B72" s="9" t="s">
        <v>100</v>
      </c>
      <c r="C72" s="1"/>
      <c r="D72" s="1"/>
      <c r="E72" s="1"/>
      <c r="F72" s="1"/>
      <c r="G72" s="1"/>
      <c r="H72" s="1"/>
      <c r="I72" s="1"/>
      <c r="J72" s="1">
        <v>360</v>
      </c>
      <c r="K72" s="1"/>
      <c r="L72" s="1"/>
      <c r="M72" s="1"/>
      <c r="N72" s="1"/>
      <c r="O72" s="1"/>
      <c r="P72" s="1"/>
      <c r="Q72" s="1"/>
      <c r="R72" s="1">
        <f>SUM(C72:Q72)</f>
        <v>360</v>
      </c>
    </row>
    <row r="73" spans="1:18" s="7" customFormat="1" ht="21.75" customHeight="1" x14ac:dyDescent="0.25">
      <c r="A73" s="1">
        <v>70</v>
      </c>
      <c r="B73" s="9" t="s">
        <v>101</v>
      </c>
      <c r="C73" s="1"/>
      <c r="D73" s="1">
        <v>96</v>
      </c>
      <c r="E73" s="1"/>
      <c r="F73" s="1">
        <v>36</v>
      </c>
      <c r="G73" s="1"/>
      <c r="H73" s="1"/>
      <c r="I73" s="1"/>
      <c r="J73" s="1"/>
      <c r="K73" s="1">
        <v>108</v>
      </c>
      <c r="L73" s="1"/>
      <c r="M73" s="1">
        <v>114</v>
      </c>
      <c r="N73" s="1"/>
      <c r="O73" s="1"/>
      <c r="P73" s="1"/>
      <c r="Q73" s="1"/>
      <c r="R73" s="1">
        <f>SUM(C73:Q73)</f>
        <v>354</v>
      </c>
    </row>
    <row r="74" spans="1:18" s="7" customFormat="1" ht="21.75" customHeight="1" x14ac:dyDescent="0.25">
      <c r="A74" s="1">
        <v>71</v>
      </c>
      <c r="B74" s="9" t="s">
        <v>102</v>
      </c>
      <c r="C74" s="1"/>
      <c r="D74" s="1">
        <v>24</v>
      </c>
      <c r="E74" s="1">
        <v>12</v>
      </c>
      <c r="F74" s="1">
        <v>18</v>
      </c>
      <c r="G74" s="1">
        <v>48</v>
      </c>
      <c r="H74" s="1"/>
      <c r="I74" s="1">
        <v>12</v>
      </c>
      <c r="J74" s="1"/>
      <c r="K74" s="1"/>
      <c r="L74" s="1">
        <v>84</v>
      </c>
      <c r="M74" s="1"/>
      <c r="N74" s="1">
        <v>144</v>
      </c>
      <c r="O74" s="1"/>
      <c r="P74" s="1"/>
      <c r="Q74" s="1"/>
      <c r="R74" s="1">
        <f>SUM(C74:Q74)</f>
        <v>342</v>
      </c>
    </row>
    <row r="75" spans="1:18" s="7" customFormat="1" ht="21.75" customHeight="1" x14ac:dyDescent="0.25">
      <c r="A75" s="1">
        <v>72</v>
      </c>
      <c r="B75" s="9" t="s">
        <v>103</v>
      </c>
      <c r="C75" s="1"/>
      <c r="D75" s="1"/>
      <c r="E75" s="1"/>
      <c r="F75" s="1"/>
      <c r="G75" s="1"/>
      <c r="H75" s="1"/>
      <c r="I75" s="1"/>
      <c r="J75" s="1"/>
      <c r="K75" s="1"/>
      <c r="L75" s="1"/>
      <c r="M75" s="1">
        <v>90</v>
      </c>
      <c r="N75" s="1">
        <v>144</v>
      </c>
      <c r="O75" s="1"/>
      <c r="P75" s="1">
        <v>81</v>
      </c>
      <c r="Q75" s="1">
        <v>24</v>
      </c>
      <c r="R75" s="1">
        <f>SUM(C75:Q75)</f>
        <v>339</v>
      </c>
    </row>
    <row r="76" spans="1:18" s="7" customFormat="1" ht="21.75" customHeight="1" x14ac:dyDescent="0.25">
      <c r="A76" s="1">
        <v>73</v>
      </c>
      <c r="B76" s="9" t="s">
        <v>104</v>
      </c>
      <c r="C76" s="1"/>
      <c r="D76" s="1"/>
      <c r="E76" s="1"/>
      <c r="F76" s="1"/>
      <c r="G76" s="1"/>
      <c r="H76" s="1"/>
      <c r="I76" s="1"/>
      <c r="J76" s="1"/>
      <c r="K76" s="1">
        <v>162</v>
      </c>
      <c r="L76" s="1">
        <v>168</v>
      </c>
      <c r="M76" s="1"/>
      <c r="N76" s="1"/>
      <c r="O76" s="1"/>
      <c r="P76" s="1"/>
      <c r="Q76" s="1"/>
      <c r="R76" s="1">
        <f>SUM(C76:Q76)</f>
        <v>330</v>
      </c>
    </row>
    <row r="77" spans="1:18" s="7" customFormat="1" ht="21.75" customHeight="1" x14ac:dyDescent="0.25">
      <c r="A77" s="1">
        <v>74</v>
      </c>
      <c r="B77" s="9" t="s">
        <v>105</v>
      </c>
      <c r="C77" s="1"/>
      <c r="D77" s="1"/>
      <c r="E77" s="1"/>
      <c r="F77" s="1"/>
      <c r="G77" s="1"/>
      <c r="H77" s="1"/>
      <c r="I77" s="1"/>
      <c r="J77" s="1"/>
      <c r="K77" s="1"/>
      <c r="L77" s="1"/>
      <c r="M77" s="1">
        <v>150</v>
      </c>
      <c r="N77" s="1"/>
      <c r="O77" s="1"/>
      <c r="P77" s="1">
        <v>114</v>
      </c>
      <c r="Q77" s="1">
        <v>45</v>
      </c>
      <c r="R77" s="1">
        <f>SUM(C77:Q77)</f>
        <v>309</v>
      </c>
    </row>
    <row r="78" spans="1:18" s="7" customFormat="1" ht="21.75" customHeight="1" x14ac:dyDescent="0.25">
      <c r="A78" s="1" t="s">
        <v>34</v>
      </c>
      <c r="B78" s="9" t="s">
        <v>106</v>
      </c>
      <c r="C78" s="1"/>
      <c r="D78" s="1"/>
      <c r="E78" s="1"/>
      <c r="F78" s="1"/>
      <c r="G78" s="1"/>
      <c r="H78" s="1"/>
      <c r="I78" s="1"/>
      <c r="J78" s="1"/>
      <c r="K78" s="1"/>
      <c r="L78" s="1"/>
      <c r="M78" s="1">
        <v>150</v>
      </c>
      <c r="N78" s="1"/>
      <c r="O78" s="1"/>
      <c r="P78" s="1">
        <v>114</v>
      </c>
      <c r="Q78" s="1">
        <v>45</v>
      </c>
      <c r="R78" s="1">
        <f>SUM(C78:Q78)</f>
        <v>309</v>
      </c>
    </row>
    <row r="79" spans="1:18" s="7" customFormat="1" ht="21.75" customHeight="1" x14ac:dyDescent="0.25">
      <c r="A79" s="1">
        <v>76</v>
      </c>
      <c r="B79" s="9" t="s">
        <v>107</v>
      </c>
      <c r="C79" s="1"/>
      <c r="D79" s="1"/>
      <c r="E79" s="1"/>
      <c r="F79" s="1"/>
      <c r="G79" s="1"/>
      <c r="H79" s="1">
        <v>306</v>
      </c>
      <c r="I79" s="1"/>
      <c r="J79" s="1"/>
      <c r="K79" s="1"/>
      <c r="L79" s="1"/>
      <c r="M79" s="1"/>
      <c r="N79" s="1"/>
      <c r="O79" s="1"/>
      <c r="P79" s="1"/>
      <c r="Q79" s="1"/>
      <c r="R79" s="1">
        <f>SUM(C79:Q79)</f>
        <v>306</v>
      </c>
    </row>
    <row r="80" spans="1:18" s="7" customFormat="1" ht="21.75" customHeight="1" x14ac:dyDescent="0.25">
      <c r="A80" s="1">
        <v>77</v>
      </c>
      <c r="B80" s="9" t="s">
        <v>108</v>
      </c>
      <c r="C80" s="1"/>
      <c r="D80" s="1">
        <v>72</v>
      </c>
      <c r="E80" s="1"/>
      <c r="F80" s="1">
        <v>36</v>
      </c>
      <c r="G80" s="1">
        <v>48</v>
      </c>
      <c r="H80" s="1"/>
      <c r="I80" s="1"/>
      <c r="J80" s="1"/>
      <c r="K80" s="1"/>
      <c r="L80" s="1"/>
      <c r="M80" s="1"/>
      <c r="N80" s="1">
        <v>144</v>
      </c>
      <c r="O80" s="1"/>
      <c r="P80" s="1"/>
      <c r="Q80" s="1"/>
      <c r="R80" s="1">
        <f>SUM(C80:Q80)</f>
        <v>300</v>
      </c>
    </row>
    <row r="81" spans="1:18" s="7" customFormat="1" ht="21.75" customHeight="1" x14ac:dyDescent="0.25">
      <c r="A81" s="1">
        <v>78</v>
      </c>
      <c r="B81" s="9" t="s">
        <v>109</v>
      </c>
      <c r="C81" s="1"/>
      <c r="D81" s="1"/>
      <c r="E81" s="1">
        <v>36</v>
      </c>
      <c r="F81" s="1"/>
      <c r="G81" s="1">
        <v>48</v>
      </c>
      <c r="H81" s="1"/>
      <c r="I81" s="1"/>
      <c r="J81" s="1"/>
      <c r="K81" s="1">
        <v>108</v>
      </c>
      <c r="L81" s="1"/>
      <c r="M81" s="1">
        <v>72</v>
      </c>
      <c r="N81" s="1"/>
      <c r="O81" s="1"/>
      <c r="P81" s="1"/>
      <c r="Q81" s="1"/>
      <c r="R81" s="1">
        <f>SUM(C81:Q81)</f>
        <v>264</v>
      </c>
    </row>
    <row r="82" spans="1:18" s="7" customFormat="1" ht="21.75" customHeight="1" x14ac:dyDescent="0.25">
      <c r="A82" s="1" t="s">
        <v>34</v>
      </c>
      <c r="B82" s="9" t="s">
        <v>110</v>
      </c>
      <c r="C82" s="1"/>
      <c r="D82" s="1"/>
      <c r="E82" s="1"/>
      <c r="F82" s="1"/>
      <c r="G82" s="1">
        <v>96</v>
      </c>
      <c r="H82" s="1"/>
      <c r="I82" s="1"/>
      <c r="J82" s="1"/>
      <c r="K82" s="1"/>
      <c r="L82" s="1">
        <v>168</v>
      </c>
      <c r="M82" s="1"/>
      <c r="N82" s="1"/>
      <c r="O82" s="1"/>
      <c r="P82" s="1"/>
      <c r="Q82" s="1"/>
      <c r="R82" s="1">
        <f>SUM(C82:Q82)</f>
        <v>264</v>
      </c>
    </row>
    <row r="83" spans="1:18" s="7" customFormat="1" ht="21.75" customHeight="1" x14ac:dyDescent="0.25">
      <c r="A83" s="1" t="s">
        <v>34</v>
      </c>
      <c r="B83" s="12" t="s">
        <v>111</v>
      </c>
      <c r="C83" s="1"/>
      <c r="D83" s="1"/>
      <c r="E83" s="1"/>
      <c r="F83" s="1"/>
      <c r="G83" s="1">
        <v>96</v>
      </c>
      <c r="H83" s="1"/>
      <c r="I83" s="1"/>
      <c r="J83" s="1"/>
      <c r="K83" s="1"/>
      <c r="L83" s="1">
        <v>168</v>
      </c>
      <c r="M83" s="1"/>
      <c r="N83" s="1"/>
      <c r="O83" s="1"/>
      <c r="P83" s="1"/>
      <c r="Q83" s="1"/>
      <c r="R83" s="1">
        <f>SUM(C83:Q83)</f>
        <v>264</v>
      </c>
    </row>
    <row r="84" spans="1:18" s="7" customFormat="1" ht="21.75" customHeight="1" x14ac:dyDescent="0.25">
      <c r="A84" s="1">
        <v>81</v>
      </c>
      <c r="B84" s="9" t="s">
        <v>112</v>
      </c>
      <c r="C84" s="1">
        <v>24</v>
      </c>
      <c r="D84" s="1">
        <v>48</v>
      </c>
      <c r="E84" s="1">
        <v>24</v>
      </c>
      <c r="F84" s="1">
        <v>18</v>
      </c>
      <c r="G84" s="1">
        <v>48</v>
      </c>
      <c r="H84" s="1"/>
      <c r="I84" s="1">
        <v>12</v>
      </c>
      <c r="J84" s="1"/>
      <c r="K84" s="1"/>
      <c r="L84" s="1">
        <v>84</v>
      </c>
      <c r="M84" s="1"/>
      <c r="N84" s="1"/>
      <c r="O84" s="1"/>
      <c r="P84" s="1"/>
      <c r="Q84" s="1"/>
      <c r="R84" s="1">
        <f>SUM(C84:Q84)</f>
        <v>258</v>
      </c>
    </row>
    <row r="85" spans="1:18" s="7" customFormat="1" ht="21.75" customHeight="1" x14ac:dyDescent="0.25">
      <c r="A85" s="1">
        <v>82</v>
      </c>
      <c r="B85" s="9" t="s">
        <v>113</v>
      </c>
      <c r="C85" s="1"/>
      <c r="D85" s="1"/>
      <c r="E85" s="1"/>
      <c r="F85" s="1"/>
      <c r="G85" s="1"/>
      <c r="H85" s="1"/>
      <c r="I85" s="1">
        <v>12</v>
      </c>
      <c r="J85" s="1"/>
      <c r="K85" s="1"/>
      <c r="L85" s="1"/>
      <c r="M85" s="1">
        <v>114</v>
      </c>
      <c r="N85" s="1"/>
      <c r="O85" s="1"/>
      <c r="P85" s="1">
        <v>90</v>
      </c>
      <c r="Q85" s="1">
        <v>30</v>
      </c>
      <c r="R85" s="1">
        <f>SUM(C85:Q85)</f>
        <v>246</v>
      </c>
    </row>
    <row r="86" spans="1:18" s="7" customFormat="1" ht="21.75" customHeight="1" x14ac:dyDescent="0.25">
      <c r="A86" s="1">
        <v>83</v>
      </c>
      <c r="B86" s="9" t="s">
        <v>114</v>
      </c>
      <c r="C86" s="1"/>
      <c r="D86" s="1"/>
      <c r="E86" s="1"/>
      <c r="F86" s="1">
        <v>36</v>
      </c>
      <c r="G86" s="1">
        <v>48</v>
      </c>
      <c r="H86" s="1"/>
      <c r="I86" s="1"/>
      <c r="J86" s="1"/>
      <c r="K86" s="1"/>
      <c r="L86" s="1"/>
      <c r="M86" s="1"/>
      <c r="N86" s="1">
        <v>144</v>
      </c>
      <c r="O86" s="1"/>
      <c r="P86" s="1"/>
      <c r="Q86" s="1"/>
      <c r="R86" s="1">
        <f>SUM(C86:Q86)</f>
        <v>228</v>
      </c>
    </row>
    <row r="87" spans="1:18" s="7" customFormat="1" ht="21.75" customHeight="1" x14ac:dyDescent="0.25">
      <c r="A87" s="1">
        <v>84</v>
      </c>
      <c r="B87" s="9" t="s">
        <v>115</v>
      </c>
      <c r="C87" s="1"/>
      <c r="D87" s="1">
        <v>48</v>
      </c>
      <c r="E87" s="1">
        <v>12</v>
      </c>
      <c r="F87" s="1">
        <v>18</v>
      </c>
      <c r="G87" s="1">
        <v>48</v>
      </c>
      <c r="H87" s="1"/>
      <c r="I87" s="1">
        <v>12</v>
      </c>
      <c r="J87" s="1"/>
      <c r="K87" s="1"/>
      <c r="L87" s="1">
        <v>84</v>
      </c>
      <c r="M87" s="1"/>
      <c r="N87" s="1"/>
      <c r="O87" s="1"/>
      <c r="P87" s="1"/>
      <c r="Q87" s="1"/>
      <c r="R87" s="1">
        <f>SUM(C87:Q87)</f>
        <v>222</v>
      </c>
    </row>
    <row r="88" spans="1:18" s="7" customFormat="1" ht="21.75" customHeight="1" x14ac:dyDescent="0.25">
      <c r="A88" s="1">
        <v>85</v>
      </c>
      <c r="B88" s="9" t="s">
        <v>116</v>
      </c>
      <c r="C88" s="1"/>
      <c r="D88" s="1"/>
      <c r="E88" s="1"/>
      <c r="F88" s="1"/>
      <c r="G88" s="1"/>
      <c r="H88" s="1"/>
      <c r="I88" s="1"/>
      <c r="J88" s="1"/>
      <c r="K88" s="1"/>
      <c r="L88" s="1"/>
      <c r="M88" s="1">
        <v>135</v>
      </c>
      <c r="N88" s="1"/>
      <c r="O88" s="1"/>
      <c r="P88" s="1">
        <v>72</v>
      </c>
      <c r="Q88" s="1"/>
      <c r="R88" s="1">
        <f>SUM(C88:Q88)</f>
        <v>207</v>
      </c>
    </row>
    <row r="89" spans="1:18" s="7" customFormat="1" ht="21.75" customHeight="1" x14ac:dyDescent="0.25">
      <c r="A89" s="1">
        <v>86</v>
      </c>
      <c r="B89" s="9" t="s">
        <v>117</v>
      </c>
      <c r="C89" s="1"/>
      <c r="D89" s="1"/>
      <c r="E89" s="1"/>
      <c r="F89" s="1"/>
      <c r="G89" s="1"/>
      <c r="H89" s="1"/>
      <c r="I89" s="1"/>
      <c r="J89" s="1"/>
      <c r="K89" s="1"/>
      <c r="L89" s="1"/>
      <c r="M89" s="1">
        <v>114</v>
      </c>
      <c r="N89" s="1"/>
      <c r="O89" s="1"/>
      <c r="P89" s="1">
        <v>90</v>
      </c>
      <c r="Q89" s="1"/>
      <c r="R89" s="1">
        <f>SUM(C89:Q89)</f>
        <v>204</v>
      </c>
    </row>
    <row r="90" spans="1:18" s="7" customFormat="1" ht="21.75" customHeight="1" x14ac:dyDescent="0.25">
      <c r="A90" s="1">
        <v>87</v>
      </c>
      <c r="B90" s="9" t="s">
        <v>118</v>
      </c>
      <c r="C90" s="1"/>
      <c r="D90" s="1">
        <v>24</v>
      </c>
      <c r="E90" s="1">
        <v>24</v>
      </c>
      <c r="F90" s="1">
        <v>18</v>
      </c>
      <c r="G90" s="1"/>
      <c r="H90" s="1"/>
      <c r="I90" s="1">
        <v>6</v>
      </c>
      <c r="J90" s="1"/>
      <c r="K90" s="1"/>
      <c r="L90" s="1"/>
      <c r="M90" s="1"/>
      <c r="N90" s="1"/>
      <c r="O90" s="1"/>
      <c r="P90" s="1">
        <v>72</v>
      </c>
      <c r="Q90" s="1">
        <v>35</v>
      </c>
      <c r="R90" s="1">
        <f>SUM(C90:Q90)</f>
        <v>179</v>
      </c>
    </row>
    <row r="91" spans="1:18" s="7" customFormat="1" ht="21.75" customHeight="1" x14ac:dyDescent="0.25">
      <c r="A91" s="1">
        <v>88</v>
      </c>
      <c r="B91" s="9" t="s">
        <v>119</v>
      </c>
      <c r="C91" s="1"/>
      <c r="D91" s="1"/>
      <c r="E91" s="1"/>
      <c r="F91" s="1">
        <v>36</v>
      </c>
      <c r="G91" s="1">
        <v>96</v>
      </c>
      <c r="H91" s="1"/>
      <c r="I91" s="1">
        <v>30</v>
      </c>
      <c r="J91" s="1"/>
      <c r="K91" s="1"/>
      <c r="L91" s="1"/>
      <c r="M91" s="1"/>
      <c r="N91" s="1"/>
      <c r="O91" s="1"/>
      <c r="P91" s="1"/>
      <c r="Q91" s="1"/>
      <c r="R91" s="1">
        <f>SUM(C91:Q91)</f>
        <v>162</v>
      </c>
    </row>
    <row r="92" spans="1:18" s="7" customFormat="1" ht="21.75" customHeight="1" x14ac:dyDescent="0.25">
      <c r="A92" s="1">
        <v>89</v>
      </c>
      <c r="B92" s="9" t="s">
        <v>120</v>
      </c>
      <c r="C92" s="1"/>
      <c r="D92" s="1">
        <v>48</v>
      </c>
      <c r="E92" s="1">
        <v>36</v>
      </c>
      <c r="F92" s="1">
        <v>72</v>
      </c>
      <c r="G92" s="1"/>
      <c r="H92" s="1"/>
      <c r="I92" s="1"/>
      <c r="J92" s="1"/>
      <c r="K92" s="1"/>
      <c r="L92" s="1"/>
      <c r="M92" s="1"/>
      <c r="N92" s="1"/>
      <c r="O92" s="1"/>
      <c r="P92" s="1"/>
      <c r="Q92" s="1"/>
      <c r="R92" s="1">
        <f>SUM(C92:Q92)</f>
        <v>156</v>
      </c>
    </row>
    <row r="93" spans="1:18" s="7" customFormat="1" ht="21.75" customHeight="1" x14ac:dyDescent="0.25">
      <c r="A93" s="1">
        <v>90</v>
      </c>
      <c r="B93" s="9" t="s">
        <v>121</v>
      </c>
      <c r="C93" s="1"/>
      <c r="D93" s="1">
        <v>72</v>
      </c>
      <c r="E93" s="1"/>
      <c r="F93" s="1"/>
      <c r="G93" s="1"/>
      <c r="H93" s="1"/>
      <c r="I93" s="1"/>
      <c r="J93" s="1"/>
      <c r="K93" s="1"/>
      <c r="L93" s="1"/>
      <c r="M93" s="1">
        <v>81</v>
      </c>
      <c r="N93" s="1"/>
      <c r="O93" s="1"/>
      <c r="P93" s="1"/>
      <c r="Q93" s="1"/>
      <c r="R93" s="1">
        <f>SUM(C93:Q93)</f>
        <v>153</v>
      </c>
    </row>
    <row r="94" spans="1:18" s="7" customFormat="1" ht="21.75" customHeight="1" x14ac:dyDescent="0.25">
      <c r="A94" s="1">
        <v>91</v>
      </c>
      <c r="B94" s="9" t="s">
        <v>122</v>
      </c>
      <c r="C94" s="1"/>
      <c r="D94" s="1"/>
      <c r="E94" s="1"/>
      <c r="F94" s="1">
        <v>54</v>
      </c>
      <c r="G94" s="1">
        <v>96</v>
      </c>
      <c r="H94" s="1"/>
      <c r="I94" s="1"/>
      <c r="J94" s="1"/>
      <c r="K94" s="1"/>
      <c r="L94" s="1"/>
      <c r="M94" s="1"/>
      <c r="N94" s="1"/>
      <c r="O94" s="1"/>
      <c r="P94" s="1"/>
      <c r="Q94" s="1"/>
      <c r="R94" s="1">
        <f>SUM(C94:Q94)</f>
        <v>150</v>
      </c>
    </row>
    <row r="95" spans="1:18" s="7" customFormat="1" ht="21.75" customHeight="1" x14ac:dyDescent="0.25">
      <c r="A95" s="1">
        <v>92</v>
      </c>
      <c r="B95" s="9" t="s">
        <v>123</v>
      </c>
      <c r="C95" s="1"/>
      <c r="D95" s="1"/>
      <c r="E95" s="1"/>
      <c r="F95" s="1"/>
      <c r="G95" s="1"/>
      <c r="H95" s="1"/>
      <c r="I95" s="1"/>
      <c r="J95" s="1"/>
      <c r="K95" s="1"/>
      <c r="L95" s="1"/>
      <c r="M95" s="1">
        <v>72</v>
      </c>
      <c r="N95" s="1"/>
      <c r="O95" s="1"/>
      <c r="P95" s="1">
        <v>72</v>
      </c>
      <c r="Q95" s="1"/>
      <c r="R95" s="1">
        <f>SUM(C95:Q95)</f>
        <v>144</v>
      </c>
    </row>
    <row r="96" spans="1:18" s="7" customFormat="1" ht="21.75" customHeight="1" x14ac:dyDescent="0.25">
      <c r="A96" s="1" t="s">
        <v>34</v>
      </c>
      <c r="B96" s="9" t="s">
        <v>124</v>
      </c>
      <c r="C96" s="1"/>
      <c r="D96" s="1"/>
      <c r="E96" s="1"/>
      <c r="F96" s="1"/>
      <c r="G96" s="1"/>
      <c r="H96" s="1"/>
      <c r="I96" s="1"/>
      <c r="J96" s="1"/>
      <c r="K96" s="1"/>
      <c r="L96" s="1"/>
      <c r="M96" s="1"/>
      <c r="N96" s="1">
        <v>144</v>
      </c>
      <c r="O96" s="1"/>
      <c r="P96" s="1"/>
      <c r="Q96" s="1"/>
      <c r="R96" s="1">
        <f>SUM(C96:Q96)</f>
        <v>144</v>
      </c>
    </row>
    <row r="97" spans="1:18" s="7" customFormat="1" ht="21.75" customHeight="1" x14ac:dyDescent="0.25">
      <c r="A97" s="1" t="s">
        <v>34</v>
      </c>
      <c r="B97" s="9" t="s">
        <v>125</v>
      </c>
      <c r="C97" s="1"/>
      <c r="D97" s="1"/>
      <c r="E97" s="1"/>
      <c r="F97" s="1"/>
      <c r="G97" s="1"/>
      <c r="H97" s="1"/>
      <c r="I97" s="1"/>
      <c r="J97" s="1"/>
      <c r="K97" s="1"/>
      <c r="L97" s="1"/>
      <c r="M97" s="1"/>
      <c r="N97" s="1">
        <v>144</v>
      </c>
      <c r="O97" s="1"/>
      <c r="P97" s="1"/>
      <c r="Q97" s="1"/>
      <c r="R97" s="1">
        <f>SUM(C97:Q97)</f>
        <v>144</v>
      </c>
    </row>
    <row r="98" spans="1:18" s="7" customFormat="1" ht="21.75" customHeight="1" x14ac:dyDescent="0.25">
      <c r="A98" s="1" t="s">
        <v>34</v>
      </c>
      <c r="B98" s="9" t="s">
        <v>126</v>
      </c>
      <c r="C98" s="1"/>
      <c r="D98" s="1">
        <v>48</v>
      </c>
      <c r="E98" s="1"/>
      <c r="F98" s="1"/>
      <c r="G98" s="1">
        <v>96</v>
      </c>
      <c r="H98" s="1"/>
      <c r="I98" s="1"/>
      <c r="J98" s="1"/>
      <c r="K98" s="1"/>
      <c r="L98" s="1"/>
      <c r="M98" s="1"/>
      <c r="N98" s="1"/>
      <c r="O98" s="1"/>
      <c r="P98" s="1"/>
      <c r="Q98" s="1"/>
      <c r="R98" s="1">
        <f>SUM(C98:Q98)</f>
        <v>144</v>
      </c>
    </row>
    <row r="99" spans="1:18" s="7" customFormat="1" ht="21.75" customHeight="1" x14ac:dyDescent="0.25">
      <c r="A99" s="1" t="s">
        <v>34</v>
      </c>
      <c r="B99" s="9" t="s">
        <v>127</v>
      </c>
      <c r="C99" s="1"/>
      <c r="D99" s="1"/>
      <c r="E99" s="1"/>
      <c r="F99" s="1"/>
      <c r="G99" s="1">
        <v>144</v>
      </c>
      <c r="H99" s="1"/>
      <c r="I99" s="1"/>
      <c r="J99" s="1"/>
      <c r="K99" s="1"/>
      <c r="L99" s="1"/>
      <c r="M99" s="1"/>
      <c r="N99" s="1"/>
      <c r="O99" s="1"/>
      <c r="P99" s="1"/>
      <c r="Q99" s="1"/>
      <c r="R99" s="1">
        <f>SUM(C99:Q99)</f>
        <v>144</v>
      </c>
    </row>
    <row r="100" spans="1:18" s="7" customFormat="1" ht="21.75" customHeight="1" x14ac:dyDescent="0.25">
      <c r="A100" s="1">
        <v>97</v>
      </c>
      <c r="B100" s="9" t="s">
        <v>128</v>
      </c>
      <c r="C100" s="1"/>
      <c r="D100" s="1">
        <v>72</v>
      </c>
      <c r="E100" s="1"/>
      <c r="F100" s="1">
        <v>36</v>
      </c>
      <c r="G100" s="1"/>
      <c r="H100" s="1"/>
      <c r="I100" s="1">
        <v>30</v>
      </c>
      <c r="J100" s="1"/>
      <c r="K100" s="1"/>
      <c r="L100" s="1"/>
      <c r="M100" s="1"/>
      <c r="N100" s="1"/>
      <c r="O100" s="1"/>
      <c r="P100" s="1"/>
      <c r="Q100" s="1"/>
      <c r="R100" s="1">
        <f>SUM(C100:Q100)</f>
        <v>138</v>
      </c>
    </row>
    <row r="101" spans="1:18" s="7" customFormat="1" ht="21.75" customHeight="1" x14ac:dyDescent="0.25">
      <c r="A101" s="1">
        <v>98</v>
      </c>
      <c r="B101" s="9" t="s">
        <v>129</v>
      </c>
      <c r="C101" s="1"/>
      <c r="D101" s="1"/>
      <c r="E101" s="1"/>
      <c r="F101" s="1"/>
      <c r="G101" s="1"/>
      <c r="H101" s="1"/>
      <c r="I101" s="1"/>
      <c r="J101" s="1"/>
      <c r="K101" s="1"/>
      <c r="L101" s="1"/>
      <c r="M101" s="1">
        <v>135</v>
      </c>
      <c r="N101" s="1"/>
      <c r="O101" s="1"/>
      <c r="P101" s="1"/>
      <c r="Q101" s="1"/>
      <c r="R101" s="1">
        <f>SUM(C101:Q101)</f>
        <v>135</v>
      </c>
    </row>
    <row r="102" spans="1:18" s="7" customFormat="1" ht="21.75" customHeight="1" x14ac:dyDescent="0.25">
      <c r="A102" s="1">
        <v>99</v>
      </c>
      <c r="B102" s="9" t="s">
        <v>130</v>
      </c>
      <c r="C102" s="1"/>
      <c r="D102" s="1"/>
      <c r="E102" s="1"/>
      <c r="F102" s="1"/>
      <c r="G102" s="1"/>
      <c r="H102" s="1"/>
      <c r="I102" s="1">
        <v>12</v>
      </c>
      <c r="J102" s="1"/>
      <c r="K102" s="1"/>
      <c r="L102" s="1"/>
      <c r="M102" s="1"/>
      <c r="N102" s="1"/>
      <c r="O102" s="1"/>
      <c r="P102" s="1">
        <v>90</v>
      </c>
      <c r="Q102" s="1">
        <v>30</v>
      </c>
      <c r="R102" s="1">
        <f>SUM(C102:Q102)</f>
        <v>132</v>
      </c>
    </row>
    <row r="103" spans="1:18" s="7" customFormat="1" ht="21.75" customHeight="1" x14ac:dyDescent="0.25">
      <c r="A103" s="1">
        <v>100</v>
      </c>
      <c r="B103" s="9" t="s">
        <v>131</v>
      </c>
      <c r="C103" s="1"/>
      <c r="D103" s="1"/>
      <c r="E103" s="1">
        <v>12</v>
      </c>
      <c r="F103" s="1">
        <v>18</v>
      </c>
      <c r="G103" s="1"/>
      <c r="H103" s="1"/>
      <c r="I103" s="1">
        <v>6</v>
      </c>
      <c r="J103" s="1"/>
      <c r="K103" s="1"/>
      <c r="L103" s="1">
        <v>84</v>
      </c>
      <c r="M103" s="1"/>
      <c r="N103" s="1"/>
      <c r="O103" s="1"/>
      <c r="P103" s="1"/>
      <c r="Q103" s="1"/>
      <c r="R103" s="1">
        <f>SUM(C103:Q103)</f>
        <v>120</v>
      </c>
    </row>
    <row r="104" spans="1:18" s="7" customFormat="1" ht="21.75" customHeight="1" x14ac:dyDescent="0.25">
      <c r="A104" s="1" t="s">
        <v>34</v>
      </c>
      <c r="B104" s="9" t="s">
        <v>132</v>
      </c>
      <c r="C104" s="1"/>
      <c r="D104" s="1"/>
      <c r="E104" s="1"/>
      <c r="F104" s="1"/>
      <c r="G104" s="1"/>
      <c r="H104" s="1"/>
      <c r="I104" s="1">
        <v>12</v>
      </c>
      <c r="J104" s="1"/>
      <c r="K104" s="1">
        <v>108</v>
      </c>
      <c r="L104" s="1"/>
      <c r="M104" s="1"/>
      <c r="N104" s="1"/>
      <c r="O104" s="1"/>
      <c r="P104" s="1"/>
      <c r="Q104" s="1"/>
      <c r="R104" s="1">
        <f>SUM(C104:Q104)</f>
        <v>120</v>
      </c>
    </row>
    <row r="105" spans="1:18" s="7" customFormat="1" ht="21.75" customHeight="1" x14ac:dyDescent="0.25">
      <c r="A105" s="1">
        <v>102</v>
      </c>
      <c r="B105" s="9" t="s">
        <v>133</v>
      </c>
      <c r="C105" s="1"/>
      <c r="D105" s="1"/>
      <c r="E105" s="1"/>
      <c r="F105" s="1"/>
      <c r="G105" s="1"/>
      <c r="H105" s="1"/>
      <c r="I105" s="1">
        <v>6</v>
      </c>
      <c r="J105" s="1"/>
      <c r="K105" s="1"/>
      <c r="L105" s="1"/>
      <c r="M105" s="1">
        <v>54</v>
      </c>
      <c r="N105" s="1"/>
      <c r="O105" s="1"/>
      <c r="P105" s="1">
        <v>54</v>
      </c>
      <c r="Q105" s="1"/>
      <c r="R105" s="1">
        <f>SUM(C105:Q105)</f>
        <v>114</v>
      </c>
    </row>
    <row r="106" spans="1:18" s="7" customFormat="1" ht="21.75" customHeight="1" x14ac:dyDescent="0.25">
      <c r="A106" s="1" t="s">
        <v>34</v>
      </c>
      <c r="B106" s="9" t="s">
        <v>134</v>
      </c>
      <c r="C106" s="1"/>
      <c r="D106" s="1"/>
      <c r="E106" s="1"/>
      <c r="F106" s="1"/>
      <c r="G106" s="1"/>
      <c r="H106" s="1"/>
      <c r="I106" s="1">
        <v>6</v>
      </c>
      <c r="J106" s="1"/>
      <c r="K106" s="1"/>
      <c r="L106" s="1"/>
      <c r="M106" s="1">
        <v>54</v>
      </c>
      <c r="N106" s="1"/>
      <c r="O106" s="1"/>
      <c r="P106" s="1">
        <v>54</v>
      </c>
      <c r="Q106" s="1"/>
      <c r="R106" s="1">
        <f>SUM(C106:Q106)</f>
        <v>114</v>
      </c>
    </row>
    <row r="107" spans="1:18" s="7" customFormat="1" ht="21.75" customHeight="1" x14ac:dyDescent="0.25">
      <c r="A107" s="1" t="s">
        <v>34</v>
      </c>
      <c r="B107" s="9" t="s">
        <v>135</v>
      </c>
      <c r="C107" s="1"/>
      <c r="D107" s="1"/>
      <c r="E107" s="1"/>
      <c r="F107" s="1"/>
      <c r="G107" s="1"/>
      <c r="H107" s="1"/>
      <c r="I107" s="1"/>
      <c r="J107" s="1"/>
      <c r="K107" s="1"/>
      <c r="L107" s="1"/>
      <c r="M107" s="1">
        <v>114</v>
      </c>
      <c r="N107" s="1"/>
      <c r="O107" s="1"/>
      <c r="P107" s="1"/>
      <c r="Q107" s="1"/>
      <c r="R107" s="1">
        <f>SUM(C107:Q107)</f>
        <v>114</v>
      </c>
    </row>
    <row r="108" spans="1:18" s="7" customFormat="1" ht="21.75" customHeight="1" x14ac:dyDescent="0.25">
      <c r="A108" s="1">
        <v>105</v>
      </c>
      <c r="B108" s="9" t="s">
        <v>136</v>
      </c>
      <c r="C108" s="1"/>
      <c r="D108" s="1"/>
      <c r="E108" s="1"/>
      <c r="F108" s="1"/>
      <c r="G108" s="1"/>
      <c r="H108" s="1"/>
      <c r="I108" s="1"/>
      <c r="J108" s="1"/>
      <c r="K108" s="1"/>
      <c r="L108" s="1"/>
      <c r="M108" s="1">
        <v>54</v>
      </c>
      <c r="N108" s="1"/>
      <c r="O108" s="1"/>
      <c r="P108" s="1">
        <v>54</v>
      </c>
      <c r="Q108" s="1"/>
      <c r="R108" s="1">
        <f>SUM(C108:Q108)</f>
        <v>108</v>
      </c>
    </row>
    <row r="109" spans="1:18" s="7" customFormat="1" ht="21.75" customHeight="1" x14ac:dyDescent="0.25">
      <c r="A109" s="1" t="s">
        <v>34</v>
      </c>
      <c r="B109" s="9" t="s">
        <v>137</v>
      </c>
      <c r="C109" s="1"/>
      <c r="D109" s="1"/>
      <c r="E109" s="1"/>
      <c r="F109" s="1"/>
      <c r="G109" s="1"/>
      <c r="H109" s="1"/>
      <c r="I109" s="1"/>
      <c r="J109" s="1"/>
      <c r="K109" s="1"/>
      <c r="L109" s="1"/>
      <c r="M109" s="1">
        <v>54</v>
      </c>
      <c r="N109" s="1"/>
      <c r="O109" s="1"/>
      <c r="P109" s="1">
        <v>54</v>
      </c>
      <c r="Q109" s="1"/>
      <c r="R109" s="1">
        <f>SUM(C109:Q109)</f>
        <v>108</v>
      </c>
    </row>
    <row r="110" spans="1:18" s="7" customFormat="1" ht="21.75" customHeight="1" x14ac:dyDescent="0.25">
      <c r="A110" s="1" t="s">
        <v>34</v>
      </c>
      <c r="B110" s="9" t="s">
        <v>138</v>
      </c>
      <c r="C110" s="1"/>
      <c r="D110" s="1"/>
      <c r="E110" s="1"/>
      <c r="F110" s="1"/>
      <c r="G110" s="1"/>
      <c r="H110" s="1"/>
      <c r="I110" s="1"/>
      <c r="J110" s="1"/>
      <c r="K110" s="1"/>
      <c r="L110" s="1"/>
      <c r="M110" s="1">
        <v>54</v>
      </c>
      <c r="N110" s="1"/>
      <c r="O110" s="1"/>
      <c r="P110" s="1">
        <v>54</v>
      </c>
      <c r="Q110" s="1"/>
      <c r="R110" s="1">
        <f>SUM(C110:Q110)</f>
        <v>108</v>
      </c>
    </row>
    <row r="111" spans="1:18" s="7" customFormat="1" ht="21.75" customHeight="1" x14ac:dyDescent="0.25">
      <c r="A111" s="1" t="s">
        <v>34</v>
      </c>
      <c r="B111" s="9" t="s">
        <v>139</v>
      </c>
      <c r="C111" s="1"/>
      <c r="D111" s="1"/>
      <c r="E111" s="1"/>
      <c r="F111" s="1"/>
      <c r="G111" s="1"/>
      <c r="H111" s="1"/>
      <c r="I111" s="1"/>
      <c r="J111" s="1"/>
      <c r="K111" s="1">
        <v>108</v>
      </c>
      <c r="L111" s="1"/>
      <c r="M111" s="1"/>
      <c r="N111" s="1"/>
      <c r="O111" s="1"/>
      <c r="P111" s="1"/>
      <c r="Q111" s="1"/>
      <c r="R111" s="1">
        <f>SUM(C111:Q111)</f>
        <v>108</v>
      </c>
    </row>
    <row r="112" spans="1:18" s="7" customFormat="1" ht="21.75" customHeight="1" x14ac:dyDescent="0.25">
      <c r="A112" s="1" t="s">
        <v>34</v>
      </c>
      <c r="B112" s="9" t="s">
        <v>140</v>
      </c>
      <c r="C112" s="1"/>
      <c r="D112" s="1"/>
      <c r="E112" s="1"/>
      <c r="F112" s="1"/>
      <c r="G112" s="1"/>
      <c r="H112" s="1"/>
      <c r="I112" s="1"/>
      <c r="J112" s="1"/>
      <c r="K112" s="1">
        <v>108</v>
      </c>
      <c r="L112" s="1"/>
      <c r="M112" s="1"/>
      <c r="N112" s="1"/>
      <c r="O112" s="1"/>
      <c r="P112" s="1"/>
      <c r="Q112" s="1"/>
      <c r="R112" s="1">
        <f>SUM(C112:Q112)</f>
        <v>108</v>
      </c>
    </row>
    <row r="113" spans="1:18" s="7" customFormat="1" ht="21.75" customHeight="1" x14ac:dyDescent="0.25">
      <c r="A113" s="1" t="s">
        <v>34</v>
      </c>
      <c r="B113" s="9" t="s">
        <v>141</v>
      </c>
      <c r="C113" s="1"/>
      <c r="D113" s="1"/>
      <c r="E113" s="1"/>
      <c r="F113" s="1"/>
      <c r="G113" s="1"/>
      <c r="H113" s="1"/>
      <c r="I113" s="1"/>
      <c r="J113" s="1"/>
      <c r="K113" s="1">
        <v>108</v>
      </c>
      <c r="L113" s="1"/>
      <c r="M113" s="1"/>
      <c r="N113" s="1"/>
      <c r="O113" s="1"/>
      <c r="P113" s="1"/>
      <c r="Q113" s="1"/>
      <c r="R113" s="1">
        <f>SUM(C113:Q113)</f>
        <v>108</v>
      </c>
    </row>
    <row r="114" spans="1:18" s="7" customFormat="1" ht="21.75" customHeight="1" x14ac:dyDescent="0.25">
      <c r="A114" s="1" t="s">
        <v>34</v>
      </c>
      <c r="B114" s="9" t="s">
        <v>142</v>
      </c>
      <c r="C114" s="1"/>
      <c r="D114" s="1"/>
      <c r="E114" s="1"/>
      <c r="F114" s="1"/>
      <c r="G114" s="1"/>
      <c r="H114" s="1"/>
      <c r="I114" s="1"/>
      <c r="J114" s="1"/>
      <c r="K114" s="1">
        <v>108</v>
      </c>
      <c r="L114" s="1"/>
      <c r="M114" s="1"/>
      <c r="N114" s="1"/>
      <c r="O114" s="1"/>
      <c r="P114" s="1"/>
      <c r="Q114" s="1"/>
      <c r="R114" s="1">
        <f>SUM(C114:Q114)</f>
        <v>108</v>
      </c>
    </row>
    <row r="115" spans="1:18" s="7" customFormat="1" ht="21.75" customHeight="1" x14ac:dyDescent="0.25">
      <c r="A115" s="1" t="s">
        <v>34</v>
      </c>
      <c r="B115" s="9" t="s">
        <v>143</v>
      </c>
      <c r="C115" s="1"/>
      <c r="D115" s="1"/>
      <c r="E115" s="1"/>
      <c r="F115" s="1"/>
      <c r="G115" s="1"/>
      <c r="H115" s="1"/>
      <c r="I115" s="1"/>
      <c r="J115" s="1"/>
      <c r="K115" s="1">
        <v>108</v>
      </c>
      <c r="L115" s="1"/>
      <c r="M115" s="1"/>
      <c r="N115" s="1"/>
      <c r="O115" s="1"/>
      <c r="P115" s="1"/>
      <c r="Q115" s="1"/>
      <c r="R115" s="1">
        <f>SUM(C115:Q115)</f>
        <v>108</v>
      </c>
    </row>
    <row r="116" spans="1:18" s="7" customFormat="1" ht="21.75" customHeight="1" x14ac:dyDescent="0.25">
      <c r="A116" s="1" t="s">
        <v>34</v>
      </c>
      <c r="B116" s="9" t="s">
        <v>144</v>
      </c>
      <c r="C116" s="1"/>
      <c r="D116" s="1">
        <v>48</v>
      </c>
      <c r="E116" s="1">
        <v>24</v>
      </c>
      <c r="F116" s="1">
        <v>18</v>
      </c>
      <c r="G116" s="1"/>
      <c r="H116" s="1"/>
      <c r="I116" s="1">
        <v>18</v>
      </c>
      <c r="J116" s="1"/>
      <c r="K116" s="1"/>
      <c r="L116" s="1"/>
      <c r="M116" s="1"/>
      <c r="N116" s="1"/>
      <c r="O116" s="1"/>
      <c r="P116" s="1"/>
      <c r="Q116" s="1"/>
      <c r="R116" s="1">
        <f>SUM(C116:Q116)</f>
        <v>108</v>
      </c>
    </row>
    <row r="117" spans="1:18" s="7" customFormat="1" ht="21.75" customHeight="1" x14ac:dyDescent="0.25">
      <c r="A117" s="1" t="s">
        <v>34</v>
      </c>
      <c r="B117" s="9" t="s">
        <v>145</v>
      </c>
      <c r="C117" s="1"/>
      <c r="D117" s="1"/>
      <c r="E117" s="1"/>
      <c r="F117" s="1">
        <v>90</v>
      </c>
      <c r="G117" s="1"/>
      <c r="H117" s="1"/>
      <c r="I117" s="1">
        <v>18</v>
      </c>
      <c r="J117" s="1"/>
      <c r="K117" s="1"/>
      <c r="L117" s="1"/>
      <c r="M117" s="1"/>
      <c r="N117" s="1"/>
      <c r="O117" s="1"/>
      <c r="P117" s="1"/>
      <c r="Q117" s="1"/>
      <c r="R117" s="1">
        <f>SUM(C117:Q117)</f>
        <v>108</v>
      </c>
    </row>
    <row r="118" spans="1:18" s="7" customFormat="1" ht="21.75" customHeight="1" x14ac:dyDescent="0.25">
      <c r="A118" s="1">
        <v>115</v>
      </c>
      <c r="B118" s="9" t="s">
        <v>146</v>
      </c>
      <c r="C118" s="1"/>
      <c r="D118" s="1"/>
      <c r="E118" s="1">
        <v>12</v>
      </c>
      <c r="F118" s="1"/>
      <c r="G118" s="1"/>
      <c r="H118" s="1"/>
      <c r="I118" s="1">
        <v>6</v>
      </c>
      <c r="J118" s="1"/>
      <c r="K118" s="1"/>
      <c r="L118" s="1">
        <v>84</v>
      </c>
      <c r="M118" s="1"/>
      <c r="N118" s="1"/>
      <c r="O118" s="1"/>
      <c r="P118" s="1"/>
      <c r="Q118" s="1"/>
      <c r="R118" s="1">
        <f>SUM(C118:Q118)</f>
        <v>102</v>
      </c>
    </row>
    <row r="119" spans="1:18" s="7" customFormat="1" ht="21.75" customHeight="1" x14ac:dyDescent="0.25">
      <c r="A119" s="1" t="s">
        <v>34</v>
      </c>
      <c r="B119" s="9" t="s">
        <v>147</v>
      </c>
      <c r="C119" s="1"/>
      <c r="D119" s="1"/>
      <c r="E119" s="1">
        <v>12</v>
      </c>
      <c r="F119" s="1"/>
      <c r="G119" s="1"/>
      <c r="H119" s="1"/>
      <c r="I119" s="1">
        <v>6</v>
      </c>
      <c r="J119" s="1"/>
      <c r="K119" s="1"/>
      <c r="L119" s="1">
        <v>84</v>
      </c>
      <c r="M119" s="1"/>
      <c r="N119" s="1"/>
      <c r="O119" s="1"/>
      <c r="P119" s="1"/>
      <c r="Q119" s="1"/>
      <c r="R119" s="1">
        <f>SUM(C119:Q119)</f>
        <v>102</v>
      </c>
    </row>
    <row r="120" spans="1:18" s="7" customFormat="1" ht="21.75" customHeight="1" x14ac:dyDescent="0.25">
      <c r="A120" s="1">
        <v>117</v>
      </c>
      <c r="B120" s="9" t="s">
        <v>148</v>
      </c>
      <c r="C120" s="1"/>
      <c r="D120" s="1"/>
      <c r="E120" s="1">
        <v>24</v>
      </c>
      <c r="F120" s="1">
        <v>18</v>
      </c>
      <c r="G120" s="1">
        <v>48</v>
      </c>
      <c r="H120" s="1"/>
      <c r="I120" s="1">
        <v>6</v>
      </c>
      <c r="J120" s="1"/>
      <c r="K120" s="1"/>
      <c r="L120" s="1"/>
      <c r="M120" s="1"/>
      <c r="N120" s="1"/>
      <c r="O120" s="1"/>
      <c r="P120" s="1"/>
      <c r="Q120" s="1"/>
      <c r="R120" s="1">
        <f>SUM(C120:Q120)</f>
        <v>96</v>
      </c>
    </row>
    <row r="121" spans="1:18" s="7" customFormat="1" ht="21.75" customHeight="1" x14ac:dyDescent="0.25">
      <c r="A121" s="1" t="s">
        <v>34</v>
      </c>
      <c r="B121" s="9" t="s">
        <v>149</v>
      </c>
      <c r="C121" s="1"/>
      <c r="D121" s="1">
        <v>96</v>
      </c>
      <c r="E121" s="1"/>
      <c r="F121" s="1"/>
      <c r="G121" s="1"/>
      <c r="H121" s="1"/>
      <c r="I121" s="1"/>
      <c r="J121" s="1"/>
      <c r="K121" s="1"/>
      <c r="L121" s="1"/>
      <c r="M121" s="1"/>
      <c r="N121" s="1"/>
      <c r="O121" s="1"/>
      <c r="P121" s="1"/>
      <c r="Q121" s="1"/>
      <c r="R121" s="1">
        <f>SUM(C121:Q121)</f>
        <v>96</v>
      </c>
    </row>
    <row r="122" spans="1:18" s="7" customFormat="1" ht="21.75" customHeight="1" x14ac:dyDescent="0.25">
      <c r="A122" s="1">
        <v>119</v>
      </c>
      <c r="B122" s="9" t="s">
        <v>150</v>
      </c>
      <c r="C122" s="1"/>
      <c r="D122" s="1"/>
      <c r="E122" s="1"/>
      <c r="F122" s="1"/>
      <c r="G122" s="1"/>
      <c r="H122" s="1"/>
      <c r="I122" s="1"/>
      <c r="J122" s="1"/>
      <c r="K122" s="1"/>
      <c r="L122" s="1"/>
      <c r="M122" s="1"/>
      <c r="N122" s="1"/>
      <c r="O122" s="1"/>
      <c r="P122" s="1">
        <v>90</v>
      </c>
      <c r="Q122" s="1"/>
      <c r="R122" s="1">
        <f>SUM(C122:Q122)</f>
        <v>90</v>
      </c>
    </row>
    <row r="123" spans="1:18" s="7" customFormat="1" ht="21.75" customHeight="1" x14ac:dyDescent="0.25">
      <c r="A123" s="1" t="s">
        <v>34</v>
      </c>
      <c r="B123" s="9" t="s">
        <v>151</v>
      </c>
      <c r="C123" s="1"/>
      <c r="D123" s="1"/>
      <c r="E123" s="1"/>
      <c r="F123" s="1"/>
      <c r="G123" s="1"/>
      <c r="H123" s="1"/>
      <c r="I123" s="1"/>
      <c r="J123" s="1"/>
      <c r="K123" s="1"/>
      <c r="L123" s="1"/>
      <c r="M123" s="1">
        <v>90</v>
      </c>
      <c r="N123" s="1"/>
      <c r="O123" s="1"/>
      <c r="P123" s="1"/>
      <c r="Q123" s="1"/>
      <c r="R123" s="1">
        <f>SUM(C123:Q123)</f>
        <v>90</v>
      </c>
    </row>
    <row r="124" spans="1:18" s="7" customFormat="1" ht="21.75" customHeight="1" x14ac:dyDescent="0.25">
      <c r="A124" s="1" t="s">
        <v>34</v>
      </c>
      <c r="B124" s="9" t="s">
        <v>152</v>
      </c>
      <c r="C124" s="1"/>
      <c r="D124" s="1"/>
      <c r="E124" s="1"/>
      <c r="F124" s="1"/>
      <c r="G124" s="1"/>
      <c r="H124" s="1"/>
      <c r="I124" s="1"/>
      <c r="J124" s="1"/>
      <c r="K124" s="1"/>
      <c r="L124" s="1"/>
      <c r="M124" s="1">
        <v>90</v>
      </c>
      <c r="N124" s="1"/>
      <c r="O124" s="1"/>
      <c r="P124" s="1"/>
      <c r="Q124" s="1"/>
      <c r="R124" s="1">
        <f>SUM(C124:Q124)</f>
        <v>90</v>
      </c>
    </row>
    <row r="125" spans="1:18" s="7" customFormat="1" ht="21.75" customHeight="1" x14ac:dyDescent="0.25">
      <c r="A125" s="1">
        <v>122</v>
      </c>
      <c r="B125" s="9" t="s">
        <v>153</v>
      </c>
      <c r="C125" s="1">
        <v>38</v>
      </c>
      <c r="D125" s="1"/>
      <c r="E125" s="1"/>
      <c r="F125" s="1"/>
      <c r="G125" s="1">
        <v>48</v>
      </c>
      <c r="H125" s="1"/>
      <c r="I125" s="1"/>
      <c r="J125" s="1"/>
      <c r="K125" s="1"/>
      <c r="L125" s="1"/>
      <c r="M125" s="1"/>
      <c r="N125" s="1"/>
      <c r="O125" s="1"/>
      <c r="P125" s="1"/>
      <c r="Q125" s="1"/>
      <c r="R125" s="1">
        <f>SUM(C125:Q125)</f>
        <v>86</v>
      </c>
    </row>
    <row r="126" spans="1:18" s="7" customFormat="1" ht="21.75" customHeight="1" x14ac:dyDescent="0.25">
      <c r="A126" s="1">
        <v>123</v>
      </c>
      <c r="B126" s="9" t="s">
        <v>154</v>
      </c>
      <c r="C126" s="1"/>
      <c r="D126" s="1"/>
      <c r="E126" s="1"/>
      <c r="F126" s="1"/>
      <c r="G126" s="1"/>
      <c r="H126" s="1"/>
      <c r="I126" s="1">
        <v>12</v>
      </c>
      <c r="J126" s="1"/>
      <c r="K126" s="1"/>
      <c r="L126" s="1"/>
      <c r="M126" s="1">
        <v>72</v>
      </c>
      <c r="N126" s="1"/>
      <c r="O126" s="1"/>
      <c r="P126" s="1"/>
      <c r="Q126" s="1"/>
      <c r="R126" s="1">
        <f>SUM(C126:Q126)</f>
        <v>84</v>
      </c>
    </row>
    <row r="127" spans="1:18" s="7" customFormat="1" ht="21.75" customHeight="1" x14ac:dyDescent="0.25">
      <c r="A127" s="1">
        <v>124</v>
      </c>
      <c r="B127" s="9" t="s">
        <v>155</v>
      </c>
      <c r="C127" s="1"/>
      <c r="D127" s="1"/>
      <c r="E127" s="1"/>
      <c r="F127" s="1"/>
      <c r="G127" s="1"/>
      <c r="H127" s="1"/>
      <c r="I127" s="1"/>
      <c r="J127" s="1"/>
      <c r="K127" s="1"/>
      <c r="L127" s="1"/>
      <c r="M127" s="1">
        <v>54</v>
      </c>
      <c r="N127" s="1"/>
      <c r="O127" s="1"/>
      <c r="P127" s="1"/>
      <c r="Q127" s="1">
        <v>24</v>
      </c>
      <c r="R127" s="1">
        <f>SUM(C127:Q127)</f>
        <v>78</v>
      </c>
    </row>
    <row r="128" spans="1:18" s="7" customFormat="1" ht="21.75" customHeight="1" x14ac:dyDescent="0.25">
      <c r="A128" s="1" t="s">
        <v>34</v>
      </c>
      <c r="B128" s="9" t="s">
        <v>156</v>
      </c>
      <c r="C128" s="1"/>
      <c r="D128" s="1"/>
      <c r="E128" s="1"/>
      <c r="F128" s="1"/>
      <c r="G128" s="1"/>
      <c r="H128" s="1"/>
      <c r="I128" s="1"/>
      <c r="J128" s="1"/>
      <c r="K128" s="1"/>
      <c r="L128" s="1"/>
      <c r="M128" s="1">
        <v>54</v>
      </c>
      <c r="N128" s="1"/>
      <c r="O128" s="1"/>
      <c r="P128" s="1"/>
      <c r="Q128" s="1">
        <v>24</v>
      </c>
      <c r="R128" s="1">
        <f>SUM(C128:Q128)</f>
        <v>78</v>
      </c>
    </row>
    <row r="129" spans="1:18" s="7" customFormat="1" ht="21.75" customHeight="1" x14ac:dyDescent="0.25">
      <c r="A129" s="1" t="s">
        <v>34</v>
      </c>
      <c r="B129" s="2" t="s">
        <v>157</v>
      </c>
      <c r="C129" s="1">
        <v>24</v>
      </c>
      <c r="D129" s="1"/>
      <c r="E129" s="1"/>
      <c r="F129" s="1"/>
      <c r="G129" s="1">
        <v>48</v>
      </c>
      <c r="H129" s="1"/>
      <c r="I129" s="1">
        <v>6</v>
      </c>
      <c r="J129" s="1"/>
      <c r="K129" s="1"/>
      <c r="L129" s="1"/>
      <c r="M129" s="1"/>
      <c r="N129" s="1"/>
      <c r="O129" s="1"/>
      <c r="P129" s="1"/>
      <c r="Q129" s="1"/>
      <c r="R129" s="1">
        <f>SUM(C129:Q129)</f>
        <v>78</v>
      </c>
    </row>
    <row r="130" spans="1:18" s="7" customFormat="1" ht="21.75" customHeight="1" x14ac:dyDescent="0.25">
      <c r="A130" s="1" t="s">
        <v>34</v>
      </c>
      <c r="B130" s="9" t="s">
        <v>158</v>
      </c>
      <c r="C130" s="1"/>
      <c r="D130" s="1"/>
      <c r="E130" s="1">
        <v>12</v>
      </c>
      <c r="F130" s="1">
        <v>18</v>
      </c>
      <c r="G130" s="1">
        <v>48</v>
      </c>
      <c r="H130" s="1"/>
      <c r="I130" s="1"/>
      <c r="J130" s="1"/>
      <c r="K130" s="1"/>
      <c r="L130" s="1"/>
      <c r="M130" s="1"/>
      <c r="N130" s="1"/>
      <c r="O130" s="1"/>
      <c r="P130" s="1"/>
      <c r="Q130" s="1"/>
      <c r="R130" s="1">
        <f>SUM(C130:Q130)</f>
        <v>78</v>
      </c>
    </row>
    <row r="131" spans="1:18" s="7" customFormat="1" ht="21.75" customHeight="1" x14ac:dyDescent="0.25">
      <c r="A131" s="1">
        <v>128</v>
      </c>
      <c r="B131" s="9" t="s">
        <v>159</v>
      </c>
      <c r="C131" s="1">
        <v>27</v>
      </c>
      <c r="D131" s="1"/>
      <c r="E131" s="1"/>
      <c r="F131" s="1"/>
      <c r="G131" s="1">
        <v>48</v>
      </c>
      <c r="H131" s="1"/>
      <c r="I131" s="1"/>
      <c r="J131" s="1"/>
      <c r="K131" s="1"/>
      <c r="L131" s="1"/>
      <c r="M131" s="1"/>
      <c r="N131" s="1"/>
      <c r="O131" s="1"/>
      <c r="P131" s="1"/>
      <c r="Q131" s="1"/>
      <c r="R131" s="1">
        <f>SUM(C131:Q131)</f>
        <v>75</v>
      </c>
    </row>
    <row r="132" spans="1:18" s="7" customFormat="1" ht="21.75" customHeight="1" x14ac:dyDescent="0.25">
      <c r="A132" s="1" t="s">
        <v>34</v>
      </c>
      <c r="B132" s="9" t="s">
        <v>160</v>
      </c>
      <c r="C132" s="1">
        <v>27</v>
      </c>
      <c r="D132" s="1"/>
      <c r="E132" s="1"/>
      <c r="F132" s="1"/>
      <c r="G132" s="1">
        <v>48</v>
      </c>
      <c r="H132" s="1"/>
      <c r="I132" s="1"/>
      <c r="J132" s="1"/>
      <c r="K132" s="1"/>
      <c r="L132" s="1"/>
      <c r="M132" s="1"/>
      <c r="N132" s="1"/>
      <c r="O132" s="1"/>
      <c r="P132" s="1"/>
      <c r="Q132" s="1"/>
      <c r="R132" s="1">
        <f>SUM(C132:Q132)</f>
        <v>75</v>
      </c>
    </row>
    <row r="133" spans="1:18" s="7" customFormat="1" ht="21.75" customHeight="1" x14ac:dyDescent="0.25">
      <c r="A133" s="1">
        <v>130</v>
      </c>
      <c r="B133" s="9" t="s">
        <v>161</v>
      </c>
      <c r="C133" s="1"/>
      <c r="D133" s="1"/>
      <c r="E133" s="1"/>
      <c r="F133" s="1"/>
      <c r="G133" s="1"/>
      <c r="H133" s="1"/>
      <c r="I133" s="1"/>
      <c r="J133" s="1"/>
      <c r="K133" s="1"/>
      <c r="L133" s="1"/>
      <c r="M133" s="1">
        <v>72</v>
      </c>
      <c r="N133" s="1"/>
      <c r="O133" s="1"/>
      <c r="P133" s="1"/>
      <c r="Q133" s="1"/>
      <c r="R133" s="1">
        <f>SUM(C133:Q133)</f>
        <v>72</v>
      </c>
    </row>
    <row r="134" spans="1:18" s="7" customFormat="1" ht="21.75" customHeight="1" x14ac:dyDescent="0.25">
      <c r="A134" s="1" t="s">
        <v>34</v>
      </c>
      <c r="B134" s="9" t="s">
        <v>162</v>
      </c>
      <c r="C134" s="1"/>
      <c r="D134" s="1"/>
      <c r="E134" s="1"/>
      <c r="F134" s="1"/>
      <c r="G134" s="1"/>
      <c r="H134" s="1"/>
      <c r="I134" s="1"/>
      <c r="J134" s="1"/>
      <c r="K134" s="1"/>
      <c r="L134" s="1"/>
      <c r="M134" s="1">
        <v>72</v>
      </c>
      <c r="N134" s="1"/>
      <c r="O134" s="1"/>
      <c r="P134" s="1"/>
      <c r="Q134" s="1"/>
      <c r="R134" s="1">
        <f>SUM(C134:Q134)</f>
        <v>72</v>
      </c>
    </row>
    <row r="135" spans="1:18" s="7" customFormat="1" ht="21.75" customHeight="1" x14ac:dyDescent="0.25">
      <c r="A135" s="1" t="s">
        <v>34</v>
      </c>
      <c r="B135" s="9" t="s">
        <v>163</v>
      </c>
      <c r="C135" s="1"/>
      <c r="D135" s="1"/>
      <c r="E135" s="1"/>
      <c r="F135" s="1"/>
      <c r="G135" s="1"/>
      <c r="H135" s="1"/>
      <c r="I135" s="1"/>
      <c r="J135" s="1"/>
      <c r="K135" s="1"/>
      <c r="L135" s="1"/>
      <c r="M135" s="1">
        <v>72</v>
      </c>
      <c r="N135" s="1"/>
      <c r="O135" s="1"/>
      <c r="P135" s="1"/>
      <c r="Q135" s="1"/>
      <c r="R135" s="1">
        <f>SUM(C135:Q135)</f>
        <v>72</v>
      </c>
    </row>
    <row r="136" spans="1:18" s="7" customFormat="1" ht="21.75" customHeight="1" x14ac:dyDescent="0.25">
      <c r="A136" s="1" t="s">
        <v>34</v>
      </c>
      <c r="B136" s="9" t="s">
        <v>164</v>
      </c>
      <c r="C136" s="1"/>
      <c r="D136" s="1">
        <v>72</v>
      </c>
      <c r="E136" s="1"/>
      <c r="F136" s="1"/>
      <c r="G136" s="1"/>
      <c r="H136" s="1"/>
      <c r="I136" s="1"/>
      <c r="J136" s="1"/>
      <c r="K136" s="1"/>
      <c r="L136" s="1"/>
      <c r="M136" s="1"/>
      <c r="N136" s="1"/>
      <c r="O136" s="1"/>
      <c r="P136" s="1"/>
      <c r="Q136" s="1"/>
      <c r="R136" s="1">
        <f>SUM(C136:Q136)</f>
        <v>72</v>
      </c>
    </row>
    <row r="137" spans="1:18" s="7" customFormat="1" ht="21.75" customHeight="1" x14ac:dyDescent="0.25">
      <c r="A137" s="1" t="s">
        <v>34</v>
      </c>
      <c r="B137" s="9" t="s">
        <v>165</v>
      </c>
      <c r="C137" s="1"/>
      <c r="D137" s="1"/>
      <c r="E137" s="1">
        <v>36</v>
      </c>
      <c r="F137" s="1">
        <v>36</v>
      </c>
      <c r="G137" s="1"/>
      <c r="H137" s="1"/>
      <c r="I137" s="1"/>
      <c r="J137" s="1"/>
      <c r="K137" s="1"/>
      <c r="L137" s="1"/>
      <c r="M137" s="1"/>
      <c r="N137" s="1"/>
      <c r="O137" s="1"/>
      <c r="P137" s="1"/>
      <c r="Q137" s="1"/>
      <c r="R137" s="1">
        <f>SUM(C137:Q137)</f>
        <v>72</v>
      </c>
    </row>
    <row r="138" spans="1:18" s="7" customFormat="1" ht="21.75" customHeight="1" x14ac:dyDescent="0.25">
      <c r="A138" s="1" t="s">
        <v>34</v>
      </c>
      <c r="B138" s="9" t="s">
        <v>166</v>
      </c>
      <c r="C138" s="1">
        <v>24</v>
      </c>
      <c r="D138" s="1"/>
      <c r="E138" s="1"/>
      <c r="F138" s="1"/>
      <c r="G138" s="1">
        <v>48</v>
      </c>
      <c r="H138" s="1"/>
      <c r="I138" s="1"/>
      <c r="J138" s="1"/>
      <c r="K138" s="1"/>
      <c r="L138" s="1"/>
      <c r="M138" s="1"/>
      <c r="N138" s="1"/>
      <c r="O138" s="1"/>
      <c r="P138" s="1"/>
      <c r="Q138" s="1"/>
      <c r="R138" s="1">
        <f>SUM(C138:Q138)</f>
        <v>72</v>
      </c>
    </row>
    <row r="139" spans="1:18" s="7" customFormat="1" ht="21.75" customHeight="1" x14ac:dyDescent="0.25">
      <c r="A139" s="1" t="s">
        <v>34</v>
      </c>
      <c r="B139" s="9" t="s">
        <v>167</v>
      </c>
      <c r="C139" s="1">
        <v>24</v>
      </c>
      <c r="D139" s="1"/>
      <c r="E139" s="1"/>
      <c r="F139" s="1"/>
      <c r="G139" s="1">
        <v>48</v>
      </c>
      <c r="H139" s="1"/>
      <c r="I139" s="1"/>
      <c r="J139" s="1"/>
      <c r="K139" s="1"/>
      <c r="L139" s="1"/>
      <c r="M139" s="1"/>
      <c r="N139" s="1"/>
      <c r="O139" s="1"/>
      <c r="P139" s="1"/>
      <c r="Q139" s="1"/>
      <c r="R139" s="1">
        <f>SUM(C139:Q139)</f>
        <v>72</v>
      </c>
    </row>
    <row r="140" spans="1:18" s="7" customFormat="1" ht="21.75" customHeight="1" x14ac:dyDescent="0.25">
      <c r="A140" s="1" t="s">
        <v>34</v>
      </c>
      <c r="B140" s="9" t="s">
        <v>168</v>
      </c>
      <c r="C140" s="1">
        <v>24</v>
      </c>
      <c r="D140" s="1"/>
      <c r="E140" s="1"/>
      <c r="F140" s="1"/>
      <c r="G140" s="1">
        <v>48</v>
      </c>
      <c r="H140" s="1"/>
      <c r="I140" s="1"/>
      <c r="J140" s="1"/>
      <c r="K140" s="1"/>
      <c r="L140" s="1"/>
      <c r="M140" s="1"/>
      <c r="N140" s="1"/>
      <c r="O140" s="1"/>
      <c r="P140" s="1"/>
      <c r="Q140" s="1"/>
      <c r="R140" s="1">
        <f>SUM(C140:Q140)</f>
        <v>72</v>
      </c>
    </row>
    <row r="141" spans="1:18" s="7" customFormat="1" ht="21.75" customHeight="1" x14ac:dyDescent="0.25">
      <c r="A141" s="1">
        <v>138</v>
      </c>
      <c r="B141" s="9" t="s">
        <v>169</v>
      </c>
      <c r="C141" s="1"/>
      <c r="D141" s="1"/>
      <c r="E141" s="1"/>
      <c r="F141" s="1"/>
      <c r="G141" s="1"/>
      <c r="H141" s="1"/>
      <c r="I141" s="1">
        <v>6</v>
      </c>
      <c r="J141" s="1"/>
      <c r="K141" s="1"/>
      <c r="L141" s="1"/>
      <c r="M141" s="1">
        <v>54</v>
      </c>
      <c r="N141" s="1"/>
      <c r="O141" s="1"/>
      <c r="P141" s="1"/>
      <c r="Q141" s="1"/>
      <c r="R141" s="1">
        <f>SUM(C141:Q141)</f>
        <v>60</v>
      </c>
    </row>
    <row r="142" spans="1:18" s="7" customFormat="1" ht="21.75" customHeight="1" x14ac:dyDescent="0.25">
      <c r="A142" s="1" t="s">
        <v>34</v>
      </c>
      <c r="B142" s="9" t="s">
        <v>170</v>
      </c>
      <c r="C142" s="1"/>
      <c r="D142" s="1">
        <v>24</v>
      </c>
      <c r="E142" s="1">
        <v>24</v>
      </c>
      <c r="F142" s="1"/>
      <c r="G142" s="1"/>
      <c r="H142" s="1"/>
      <c r="I142" s="1">
        <v>12</v>
      </c>
      <c r="J142" s="1"/>
      <c r="K142" s="1"/>
      <c r="L142" s="1"/>
      <c r="M142" s="1"/>
      <c r="N142" s="1"/>
      <c r="O142" s="1"/>
      <c r="P142" s="1"/>
      <c r="Q142" s="1"/>
      <c r="R142" s="1">
        <f>SUM(C142:Q142)</f>
        <v>60</v>
      </c>
    </row>
    <row r="143" spans="1:18" s="7" customFormat="1" ht="21.75" customHeight="1" x14ac:dyDescent="0.25">
      <c r="A143" s="1">
        <v>140</v>
      </c>
      <c r="B143" s="9" t="s">
        <v>171</v>
      </c>
      <c r="C143" s="1"/>
      <c r="D143" s="1"/>
      <c r="E143" s="1"/>
      <c r="F143" s="1"/>
      <c r="G143" s="1"/>
      <c r="H143" s="1"/>
      <c r="I143" s="1"/>
      <c r="J143" s="1"/>
      <c r="K143" s="1"/>
      <c r="L143" s="1"/>
      <c r="M143" s="1"/>
      <c r="N143" s="1"/>
      <c r="O143" s="1"/>
      <c r="P143" s="1">
        <v>54</v>
      </c>
      <c r="Q143" s="1"/>
      <c r="R143" s="1">
        <f>SUM(C143:Q143)</f>
        <v>54</v>
      </c>
    </row>
    <row r="144" spans="1:18" s="7" customFormat="1" ht="21.75" customHeight="1" x14ac:dyDescent="0.25">
      <c r="A144" s="1" t="s">
        <v>34</v>
      </c>
      <c r="B144" s="9" t="s">
        <v>172</v>
      </c>
      <c r="C144" s="1"/>
      <c r="D144" s="1"/>
      <c r="E144" s="1"/>
      <c r="F144" s="1"/>
      <c r="G144" s="1"/>
      <c r="H144" s="1"/>
      <c r="I144" s="1"/>
      <c r="J144" s="1"/>
      <c r="K144" s="1"/>
      <c r="L144" s="1"/>
      <c r="M144" s="1"/>
      <c r="N144" s="1"/>
      <c r="O144" s="1"/>
      <c r="P144" s="1">
        <v>54</v>
      </c>
      <c r="Q144" s="1"/>
      <c r="R144" s="1">
        <f>SUM(C144:Q144)</f>
        <v>54</v>
      </c>
    </row>
    <row r="145" spans="1:18" s="7" customFormat="1" ht="21.75" customHeight="1" x14ac:dyDescent="0.25">
      <c r="A145" s="1" t="s">
        <v>34</v>
      </c>
      <c r="B145" s="9" t="s">
        <v>173</v>
      </c>
      <c r="C145" s="1"/>
      <c r="D145" s="1"/>
      <c r="E145" s="1"/>
      <c r="F145" s="1"/>
      <c r="G145" s="1"/>
      <c r="H145" s="1"/>
      <c r="I145" s="1"/>
      <c r="J145" s="1"/>
      <c r="K145" s="1"/>
      <c r="L145" s="1"/>
      <c r="M145" s="1"/>
      <c r="N145" s="1"/>
      <c r="O145" s="1"/>
      <c r="P145" s="1">
        <v>54</v>
      </c>
      <c r="Q145" s="1"/>
      <c r="R145" s="1">
        <f>SUM(C145:Q145)</f>
        <v>54</v>
      </c>
    </row>
    <row r="146" spans="1:18" s="7" customFormat="1" ht="21.75" customHeight="1" x14ac:dyDescent="0.25">
      <c r="A146" s="1" t="s">
        <v>34</v>
      </c>
      <c r="B146" s="9" t="s">
        <v>174</v>
      </c>
      <c r="C146" s="1"/>
      <c r="D146" s="1"/>
      <c r="E146" s="1"/>
      <c r="F146" s="1"/>
      <c r="G146" s="1"/>
      <c r="H146" s="1"/>
      <c r="I146" s="1"/>
      <c r="J146" s="1"/>
      <c r="K146" s="1"/>
      <c r="L146" s="1"/>
      <c r="M146" s="1">
        <v>54</v>
      </c>
      <c r="N146" s="1"/>
      <c r="O146" s="1"/>
      <c r="P146" s="1"/>
      <c r="Q146" s="1"/>
      <c r="R146" s="1">
        <f>SUM(C146:Q146)</f>
        <v>54</v>
      </c>
    </row>
    <row r="147" spans="1:18" s="7" customFormat="1" ht="21.75" customHeight="1" x14ac:dyDescent="0.25">
      <c r="A147" s="1" t="s">
        <v>34</v>
      </c>
      <c r="B147" s="9" t="s">
        <v>175</v>
      </c>
      <c r="C147" s="1"/>
      <c r="D147" s="1"/>
      <c r="E147" s="1"/>
      <c r="F147" s="1"/>
      <c r="G147" s="1"/>
      <c r="H147" s="1"/>
      <c r="I147" s="1"/>
      <c r="J147" s="1"/>
      <c r="K147" s="1"/>
      <c r="L147" s="1"/>
      <c r="M147" s="1">
        <v>54</v>
      </c>
      <c r="N147" s="1"/>
      <c r="O147" s="1"/>
      <c r="P147" s="1"/>
      <c r="Q147" s="1"/>
      <c r="R147" s="1">
        <f>SUM(C147:Q147)</f>
        <v>54</v>
      </c>
    </row>
    <row r="148" spans="1:18" s="7" customFormat="1" ht="21.75" customHeight="1" x14ac:dyDescent="0.25">
      <c r="A148" s="1" t="s">
        <v>34</v>
      </c>
      <c r="B148" s="9" t="s">
        <v>176</v>
      </c>
      <c r="C148" s="1"/>
      <c r="D148" s="1"/>
      <c r="E148" s="1"/>
      <c r="F148" s="1"/>
      <c r="G148" s="1"/>
      <c r="H148" s="1"/>
      <c r="I148" s="1"/>
      <c r="J148" s="1"/>
      <c r="K148" s="1"/>
      <c r="L148" s="1"/>
      <c r="M148" s="1">
        <v>54</v>
      </c>
      <c r="N148" s="1"/>
      <c r="O148" s="1"/>
      <c r="P148" s="1"/>
      <c r="Q148" s="1"/>
      <c r="R148" s="1">
        <f>SUM(C148:Q148)</f>
        <v>54</v>
      </c>
    </row>
    <row r="149" spans="1:18" s="7" customFormat="1" ht="21.75" customHeight="1" x14ac:dyDescent="0.25">
      <c r="A149" s="1" t="s">
        <v>34</v>
      </c>
      <c r="B149" s="9" t="s">
        <v>177</v>
      </c>
      <c r="C149" s="1"/>
      <c r="D149" s="1"/>
      <c r="E149" s="1">
        <v>36</v>
      </c>
      <c r="F149" s="1"/>
      <c r="G149" s="1"/>
      <c r="H149" s="1"/>
      <c r="I149" s="1">
        <v>18</v>
      </c>
      <c r="J149" s="1"/>
      <c r="K149" s="1"/>
      <c r="L149" s="1"/>
      <c r="M149" s="1"/>
      <c r="N149" s="1"/>
      <c r="O149" s="1"/>
      <c r="P149" s="1"/>
      <c r="Q149" s="1"/>
      <c r="R149" s="1">
        <f>SUM(C149:Q149)</f>
        <v>54</v>
      </c>
    </row>
    <row r="150" spans="1:18" s="7" customFormat="1" ht="21.75" customHeight="1" x14ac:dyDescent="0.25">
      <c r="A150" s="1" t="s">
        <v>34</v>
      </c>
      <c r="B150" s="9" t="s">
        <v>178</v>
      </c>
      <c r="C150" s="1"/>
      <c r="D150" s="1"/>
      <c r="E150" s="1"/>
      <c r="F150" s="1"/>
      <c r="G150" s="1">
        <v>48</v>
      </c>
      <c r="H150" s="1"/>
      <c r="I150" s="1">
        <v>6</v>
      </c>
      <c r="J150" s="1"/>
      <c r="K150" s="1"/>
      <c r="L150" s="1"/>
      <c r="M150" s="1"/>
      <c r="N150" s="1"/>
      <c r="O150" s="1"/>
      <c r="P150" s="1"/>
      <c r="Q150" s="1"/>
      <c r="R150" s="1">
        <f>SUM(C150:Q150)</f>
        <v>54</v>
      </c>
    </row>
    <row r="151" spans="1:18" s="7" customFormat="1" ht="21.75" customHeight="1" x14ac:dyDescent="0.25">
      <c r="A151" s="1" t="s">
        <v>34</v>
      </c>
      <c r="B151" s="9" t="s">
        <v>179</v>
      </c>
      <c r="C151" s="1"/>
      <c r="D151" s="1"/>
      <c r="E151" s="1"/>
      <c r="F151" s="1"/>
      <c r="G151" s="1">
        <v>48</v>
      </c>
      <c r="H151" s="1"/>
      <c r="I151" s="1">
        <v>6</v>
      </c>
      <c r="J151" s="1"/>
      <c r="K151" s="1"/>
      <c r="L151" s="1"/>
      <c r="M151" s="1"/>
      <c r="N151" s="1"/>
      <c r="O151" s="1"/>
      <c r="P151" s="1"/>
      <c r="Q151" s="1"/>
      <c r="R151" s="1">
        <f>SUM(C151:Q151)</f>
        <v>54</v>
      </c>
    </row>
    <row r="152" spans="1:18" s="7" customFormat="1" ht="21.75" customHeight="1" x14ac:dyDescent="0.25">
      <c r="A152" s="1">
        <v>149</v>
      </c>
      <c r="B152" s="2" t="s">
        <v>180</v>
      </c>
      <c r="C152" s="1"/>
      <c r="D152" s="1">
        <v>48</v>
      </c>
      <c r="E152" s="1"/>
      <c r="F152" s="1"/>
      <c r="G152" s="1"/>
      <c r="H152" s="1"/>
      <c r="I152" s="1"/>
      <c r="J152" s="1"/>
      <c r="K152" s="1"/>
      <c r="L152" s="1"/>
      <c r="M152" s="1"/>
      <c r="N152" s="1"/>
      <c r="O152" s="1"/>
      <c r="P152" s="1"/>
      <c r="Q152" s="1"/>
      <c r="R152" s="1">
        <f>SUM(C152:Q152)</f>
        <v>48</v>
      </c>
    </row>
    <row r="153" spans="1:18" s="7" customFormat="1" ht="21.75" customHeight="1" x14ac:dyDescent="0.25">
      <c r="A153" s="1" t="s">
        <v>34</v>
      </c>
      <c r="B153" s="9" t="s">
        <v>181</v>
      </c>
      <c r="C153" s="1"/>
      <c r="D153" s="1">
        <v>48</v>
      </c>
      <c r="E153" s="1"/>
      <c r="F153" s="1"/>
      <c r="G153" s="1"/>
      <c r="H153" s="1"/>
      <c r="I153" s="1"/>
      <c r="J153" s="1"/>
      <c r="K153" s="1"/>
      <c r="L153" s="1"/>
      <c r="M153" s="1"/>
      <c r="N153" s="1"/>
      <c r="O153" s="1"/>
      <c r="P153" s="1"/>
      <c r="Q153" s="1"/>
      <c r="R153" s="1">
        <f>SUM(C153:Q153)</f>
        <v>48</v>
      </c>
    </row>
    <row r="154" spans="1:18" s="7" customFormat="1" ht="21.75" customHeight="1" x14ac:dyDescent="0.25">
      <c r="A154" s="1" t="s">
        <v>34</v>
      </c>
      <c r="B154" s="2" t="s">
        <v>182</v>
      </c>
      <c r="C154" s="1"/>
      <c r="D154" s="1">
        <v>48</v>
      </c>
      <c r="E154" s="1"/>
      <c r="F154" s="1"/>
      <c r="G154" s="1"/>
      <c r="H154" s="1"/>
      <c r="I154" s="1"/>
      <c r="J154" s="1"/>
      <c r="K154" s="1"/>
      <c r="L154" s="1"/>
      <c r="M154" s="1"/>
      <c r="N154" s="1"/>
      <c r="O154" s="1"/>
      <c r="P154" s="1"/>
      <c r="Q154" s="1"/>
      <c r="R154" s="1">
        <f>SUM(C154:Q154)</f>
        <v>48</v>
      </c>
    </row>
    <row r="155" spans="1:18" s="7" customFormat="1" ht="21.75" customHeight="1" x14ac:dyDescent="0.25">
      <c r="A155" s="1" t="s">
        <v>34</v>
      </c>
      <c r="B155" s="9" t="s">
        <v>183</v>
      </c>
      <c r="C155" s="1"/>
      <c r="D155" s="1"/>
      <c r="E155" s="1"/>
      <c r="F155" s="1"/>
      <c r="G155" s="1">
        <v>48</v>
      </c>
      <c r="H155" s="1"/>
      <c r="I155" s="1"/>
      <c r="J155" s="1"/>
      <c r="K155" s="1"/>
      <c r="L155" s="1"/>
      <c r="M155" s="1"/>
      <c r="N155" s="1"/>
      <c r="O155" s="1"/>
      <c r="P155" s="1"/>
      <c r="Q155" s="1"/>
      <c r="R155" s="1">
        <f>SUM(C155:Q155)</f>
        <v>48</v>
      </c>
    </row>
    <row r="156" spans="1:18" s="7" customFormat="1" ht="21.75" customHeight="1" x14ac:dyDescent="0.25">
      <c r="A156" s="1" t="s">
        <v>34</v>
      </c>
      <c r="B156" s="9" t="s">
        <v>184</v>
      </c>
      <c r="C156" s="1"/>
      <c r="D156" s="1"/>
      <c r="E156" s="1"/>
      <c r="F156" s="1"/>
      <c r="G156" s="1">
        <v>48</v>
      </c>
      <c r="H156" s="1"/>
      <c r="I156" s="1"/>
      <c r="J156" s="1"/>
      <c r="K156" s="1"/>
      <c r="L156" s="1"/>
      <c r="M156" s="1"/>
      <c r="N156" s="1"/>
      <c r="O156" s="1"/>
      <c r="P156" s="1"/>
      <c r="Q156" s="1"/>
      <c r="R156" s="1">
        <f>SUM(C156:Q156)</f>
        <v>48</v>
      </c>
    </row>
    <row r="157" spans="1:18" s="7" customFormat="1" ht="21.75" customHeight="1" x14ac:dyDescent="0.25">
      <c r="A157" s="1" t="s">
        <v>34</v>
      </c>
      <c r="B157" s="12" t="s">
        <v>185</v>
      </c>
      <c r="C157" s="1"/>
      <c r="D157" s="1"/>
      <c r="E157" s="1"/>
      <c r="F157" s="1"/>
      <c r="G157" s="1">
        <v>48</v>
      </c>
      <c r="H157" s="1"/>
      <c r="I157" s="1"/>
      <c r="J157" s="1"/>
      <c r="K157" s="1"/>
      <c r="L157" s="1"/>
      <c r="M157" s="1"/>
      <c r="N157" s="1"/>
      <c r="O157" s="1"/>
      <c r="P157" s="1"/>
      <c r="Q157" s="1"/>
      <c r="R157" s="1">
        <f>SUM(C157:Q157)</f>
        <v>48</v>
      </c>
    </row>
    <row r="158" spans="1:18" s="7" customFormat="1" ht="21.75" customHeight="1" x14ac:dyDescent="0.25">
      <c r="A158" s="1">
        <v>155</v>
      </c>
      <c r="B158" s="9" t="s">
        <v>186</v>
      </c>
      <c r="C158" s="1"/>
      <c r="D158" s="1"/>
      <c r="E158" s="1"/>
      <c r="F158" s="1"/>
      <c r="G158" s="1"/>
      <c r="H158" s="1"/>
      <c r="I158" s="1">
        <v>6</v>
      </c>
      <c r="J158" s="1"/>
      <c r="K158" s="1"/>
      <c r="L158" s="1"/>
      <c r="M158" s="1"/>
      <c r="N158" s="1"/>
      <c r="O158" s="1"/>
      <c r="P158" s="1"/>
      <c r="Q158" s="1">
        <v>40</v>
      </c>
      <c r="R158" s="1">
        <f>SUM(C158:Q158)</f>
        <v>46</v>
      </c>
    </row>
    <row r="159" spans="1:18" s="7" customFormat="1" ht="21.75" customHeight="1" x14ac:dyDescent="0.25">
      <c r="A159" s="1" t="s">
        <v>34</v>
      </c>
      <c r="B159" s="9" t="s">
        <v>187</v>
      </c>
      <c r="C159" s="1"/>
      <c r="D159" s="1"/>
      <c r="E159" s="1"/>
      <c r="F159" s="1"/>
      <c r="G159" s="1"/>
      <c r="H159" s="1"/>
      <c r="I159" s="1">
        <v>6</v>
      </c>
      <c r="J159" s="1"/>
      <c r="K159" s="1"/>
      <c r="L159" s="1"/>
      <c r="M159" s="1"/>
      <c r="N159" s="1"/>
      <c r="O159" s="1"/>
      <c r="P159" s="1"/>
      <c r="Q159" s="1">
        <v>40</v>
      </c>
      <c r="R159" s="1">
        <f>SUM(C159:Q159)</f>
        <v>46</v>
      </c>
    </row>
    <row r="160" spans="1:18" s="7" customFormat="1" ht="21.75" customHeight="1" x14ac:dyDescent="0.25">
      <c r="A160" s="1">
        <v>157</v>
      </c>
      <c r="B160" s="2" t="s">
        <v>188</v>
      </c>
      <c r="C160" s="1"/>
      <c r="D160" s="1"/>
      <c r="E160" s="1">
        <v>24</v>
      </c>
      <c r="F160" s="1">
        <v>18</v>
      </c>
      <c r="G160" s="1"/>
      <c r="H160" s="1"/>
      <c r="I160" s="1"/>
      <c r="J160" s="1"/>
      <c r="K160" s="1"/>
      <c r="L160" s="1"/>
      <c r="M160" s="1"/>
      <c r="N160" s="1"/>
      <c r="O160" s="1"/>
      <c r="P160" s="1"/>
      <c r="Q160" s="1"/>
      <c r="R160" s="1">
        <f>SUM(C160:Q160)</f>
        <v>42</v>
      </c>
    </row>
    <row r="161" spans="1:19" s="7" customFormat="1" ht="21.75" customHeight="1" x14ac:dyDescent="0.25">
      <c r="A161" s="1" t="s">
        <v>34</v>
      </c>
      <c r="B161" s="2" t="s">
        <v>189</v>
      </c>
      <c r="C161" s="1"/>
      <c r="D161" s="1"/>
      <c r="E161" s="1">
        <v>24</v>
      </c>
      <c r="F161" s="1">
        <v>18</v>
      </c>
      <c r="G161" s="1"/>
      <c r="H161" s="1"/>
      <c r="I161" s="1"/>
      <c r="J161" s="1"/>
      <c r="K161" s="1"/>
      <c r="L161" s="1"/>
      <c r="M161" s="1"/>
      <c r="N161" s="1"/>
      <c r="O161" s="1"/>
      <c r="P161" s="1"/>
      <c r="Q161" s="1"/>
      <c r="R161" s="1">
        <f>SUM(C161:Q161)</f>
        <v>42</v>
      </c>
    </row>
    <row r="162" spans="1:19" s="7" customFormat="1" ht="21.75" customHeight="1" x14ac:dyDescent="0.25">
      <c r="A162" s="1">
        <v>159</v>
      </c>
      <c r="B162" s="9" t="s">
        <v>190</v>
      </c>
      <c r="C162" s="1">
        <v>38</v>
      </c>
      <c r="D162" s="1"/>
      <c r="E162" s="1"/>
      <c r="F162" s="1"/>
      <c r="G162" s="1"/>
      <c r="H162" s="1"/>
      <c r="I162" s="1"/>
      <c r="J162" s="1"/>
      <c r="K162" s="1"/>
      <c r="L162" s="1"/>
      <c r="M162" s="1"/>
      <c r="N162" s="1"/>
      <c r="O162" s="1"/>
      <c r="P162" s="1"/>
      <c r="Q162" s="1"/>
      <c r="R162" s="1">
        <f>SUM(C162:Q162)</f>
        <v>38</v>
      </c>
    </row>
    <row r="163" spans="1:19" s="7" customFormat="1" ht="21.75" customHeight="1" x14ac:dyDescent="0.25">
      <c r="A163" s="1">
        <v>160</v>
      </c>
      <c r="B163" s="9" t="s">
        <v>191</v>
      </c>
      <c r="C163" s="1"/>
      <c r="D163" s="1"/>
      <c r="E163" s="1">
        <v>12</v>
      </c>
      <c r="F163" s="1"/>
      <c r="G163" s="1"/>
      <c r="H163" s="1"/>
      <c r="I163" s="1"/>
      <c r="J163" s="1"/>
      <c r="K163" s="1"/>
      <c r="L163" s="1"/>
      <c r="M163" s="1"/>
      <c r="N163" s="1"/>
      <c r="O163" s="1"/>
      <c r="P163" s="1"/>
      <c r="Q163" s="1">
        <v>24</v>
      </c>
      <c r="R163" s="1">
        <f>SUM(C163:Q163)</f>
        <v>36</v>
      </c>
    </row>
    <row r="164" spans="1:19" s="7" customFormat="1" ht="21.75" customHeight="1" x14ac:dyDescent="0.25">
      <c r="A164" s="1" t="s">
        <v>34</v>
      </c>
      <c r="B164" s="2" t="s">
        <v>192</v>
      </c>
      <c r="C164" s="1"/>
      <c r="D164" s="1"/>
      <c r="E164" s="1">
        <v>36</v>
      </c>
      <c r="F164" s="1"/>
      <c r="G164" s="1"/>
      <c r="H164" s="1"/>
      <c r="I164" s="1"/>
      <c r="J164" s="1"/>
      <c r="K164" s="1"/>
      <c r="L164" s="1"/>
      <c r="M164" s="1"/>
      <c r="N164" s="1"/>
      <c r="O164" s="1"/>
      <c r="P164" s="1"/>
      <c r="Q164" s="1"/>
      <c r="R164" s="1">
        <f>SUM(C164:Q164)</f>
        <v>36</v>
      </c>
    </row>
    <row r="165" spans="1:19" s="7" customFormat="1" ht="21.75" customHeight="1" x14ac:dyDescent="0.25">
      <c r="A165" s="1" t="s">
        <v>34</v>
      </c>
      <c r="B165" s="9" t="s">
        <v>193</v>
      </c>
      <c r="C165" s="1"/>
      <c r="D165" s="1">
        <v>24</v>
      </c>
      <c r="E165" s="1">
        <v>12</v>
      </c>
      <c r="F165" s="1"/>
      <c r="G165" s="1"/>
      <c r="H165" s="1"/>
      <c r="I165" s="1"/>
      <c r="J165" s="1"/>
      <c r="K165" s="1"/>
      <c r="L165" s="1"/>
      <c r="M165" s="1"/>
      <c r="N165" s="1"/>
      <c r="O165" s="1"/>
      <c r="P165" s="1"/>
      <c r="Q165" s="1"/>
      <c r="R165" s="1">
        <f>SUM(C165:Q165)</f>
        <v>36</v>
      </c>
    </row>
    <row r="166" spans="1:19" s="7" customFormat="1" ht="21.75" customHeight="1" x14ac:dyDescent="0.25">
      <c r="A166" s="1">
        <v>163</v>
      </c>
      <c r="B166" s="9" t="s">
        <v>194</v>
      </c>
      <c r="C166" s="1">
        <v>27</v>
      </c>
      <c r="D166" s="1"/>
      <c r="E166" s="1"/>
      <c r="F166" s="1"/>
      <c r="G166" s="1"/>
      <c r="H166" s="1"/>
      <c r="I166" s="1"/>
      <c r="J166" s="1"/>
      <c r="K166" s="1"/>
      <c r="L166" s="1"/>
      <c r="M166" s="1"/>
      <c r="N166" s="1"/>
      <c r="O166" s="1"/>
      <c r="P166" s="1"/>
      <c r="Q166" s="1"/>
      <c r="R166" s="1">
        <f>SUM(C166:Q166)</f>
        <v>27</v>
      </c>
    </row>
    <row r="167" spans="1:19" s="7" customFormat="1" ht="21.75" customHeight="1" x14ac:dyDescent="0.25">
      <c r="A167" s="1" t="s">
        <v>34</v>
      </c>
      <c r="B167" s="9" t="s">
        <v>195</v>
      </c>
      <c r="C167" s="1">
        <v>27</v>
      </c>
      <c r="D167" s="1"/>
      <c r="E167" s="1"/>
      <c r="F167" s="1"/>
      <c r="G167" s="1"/>
      <c r="H167" s="1"/>
      <c r="I167" s="1"/>
      <c r="J167" s="1"/>
      <c r="K167" s="1"/>
      <c r="L167" s="1"/>
      <c r="M167" s="1"/>
      <c r="N167" s="1"/>
      <c r="O167" s="1"/>
      <c r="P167" s="1"/>
      <c r="Q167" s="1"/>
      <c r="R167" s="1">
        <f>SUM(C167:Q167)</f>
        <v>27</v>
      </c>
    </row>
    <row r="168" spans="1:19" s="7" customFormat="1" ht="21.75" customHeight="1" x14ac:dyDescent="0.25">
      <c r="A168" s="1">
        <v>165</v>
      </c>
      <c r="B168" s="9" t="s">
        <v>196</v>
      </c>
      <c r="C168" s="1"/>
      <c r="D168" s="1"/>
      <c r="E168" s="1"/>
      <c r="F168" s="1"/>
      <c r="G168" s="1"/>
      <c r="H168" s="1"/>
      <c r="I168" s="1"/>
      <c r="J168" s="1"/>
      <c r="K168" s="1"/>
      <c r="L168" s="1"/>
      <c r="M168" s="1"/>
      <c r="N168" s="1"/>
      <c r="O168" s="1"/>
      <c r="P168" s="1"/>
      <c r="Q168" s="1">
        <v>24</v>
      </c>
      <c r="R168" s="1">
        <f>SUM(C168:Q168)</f>
        <v>24</v>
      </c>
    </row>
    <row r="169" spans="1:19" s="7" customFormat="1" ht="21.75" customHeight="1" x14ac:dyDescent="0.25">
      <c r="A169" s="1" t="s">
        <v>34</v>
      </c>
      <c r="B169" s="9" t="s">
        <v>197</v>
      </c>
      <c r="C169" s="1"/>
      <c r="D169" s="1"/>
      <c r="E169" s="1"/>
      <c r="F169" s="1"/>
      <c r="G169" s="1"/>
      <c r="H169" s="1"/>
      <c r="I169" s="1"/>
      <c r="J169" s="1"/>
      <c r="K169" s="1"/>
      <c r="L169" s="1"/>
      <c r="M169" s="1"/>
      <c r="N169" s="1"/>
      <c r="O169" s="1"/>
      <c r="P169" s="1"/>
      <c r="Q169" s="1">
        <v>24</v>
      </c>
      <c r="R169" s="1">
        <f>SUM(C169:Q169)</f>
        <v>24</v>
      </c>
    </row>
    <row r="170" spans="1:19" s="7" customFormat="1" ht="21.75" customHeight="1" x14ac:dyDescent="0.25">
      <c r="A170" s="1" t="s">
        <v>34</v>
      </c>
      <c r="B170" s="9" t="s">
        <v>198</v>
      </c>
      <c r="C170" s="1"/>
      <c r="D170" s="1"/>
      <c r="E170" s="1"/>
      <c r="F170" s="1"/>
      <c r="G170" s="1"/>
      <c r="H170" s="1"/>
      <c r="I170" s="1"/>
      <c r="J170" s="1"/>
      <c r="K170" s="1"/>
      <c r="L170" s="1"/>
      <c r="M170" s="1"/>
      <c r="N170" s="1"/>
      <c r="O170" s="1"/>
      <c r="P170" s="1"/>
      <c r="Q170" s="1">
        <v>24</v>
      </c>
      <c r="R170" s="1">
        <f>SUM(C170:Q170)</f>
        <v>24</v>
      </c>
    </row>
    <row r="171" spans="1:19" s="7" customFormat="1" ht="21.75" customHeight="1" x14ac:dyDescent="0.25">
      <c r="A171" s="1" t="s">
        <v>34</v>
      </c>
      <c r="B171" s="9" t="s">
        <v>199</v>
      </c>
      <c r="C171" s="1">
        <v>24</v>
      </c>
      <c r="D171" s="1"/>
      <c r="E171" s="1"/>
      <c r="F171" s="1"/>
      <c r="G171" s="1"/>
      <c r="H171" s="1"/>
      <c r="I171" s="1"/>
      <c r="J171" s="1"/>
      <c r="K171" s="1"/>
      <c r="L171" s="1"/>
      <c r="M171" s="1"/>
      <c r="N171" s="1"/>
      <c r="O171" s="1"/>
      <c r="P171" s="1"/>
      <c r="Q171" s="1"/>
      <c r="R171" s="1">
        <f>SUM(C171:Q171)</f>
        <v>24</v>
      </c>
    </row>
    <row r="172" spans="1:19" s="7" customFormat="1" ht="21.75" customHeight="1" x14ac:dyDescent="0.25">
      <c r="A172" s="1" t="s">
        <v>34</v>
      </c>
      <c r="B172" s="2" t="s">
        <v>200</v>
      </c>
      <c r="C172" s="1"/>
      <c r="D172" s="1"/>
      <c r="E172" s="1"/>
      <c r="F172" s="1"/>
      <c r="G172" s="1"/>
      <c r="H172" s="1"/>
      <c r="I172" s="1">
        <v>24</v>
      </c>
      <c r="J172" s="1"/>
      <c r="K172" s="1"/>
      <c r="L172" s="1"/>
      <c r="M172" s="1"/>
      <c r="N172" s="1"/>
      <c r="O172" s="1"/>
      <c r="P172" s="1"/>
      <c r="Q172" s="1"/>
      <c r="R172" s="1">
        <f>SUM(C172:Q172)</f>
        <v>24</v>
      </c>
    </row>
    <row r="173" spans="1:19" s="7" customFormat="1" ht="21.75" customHeight="1" x14ac:dyDescent="0.25">
      <c r="A173" s="1">
        <v>170</v>
      </c>
      <c r="B173" s="9" t="s">
        <v>201</v>
      </c>
      <c r="C173" s="1"/>
      <c r="D173" s="1"/>
      <c r="E173" s="1"/>
      <c r="F173" s="1"/>
      <c r="G173" s="1"/>
      <c r="H173" s="1"/>
      <c r="I173" s="1"/>
      <c r="J173" s="1"/>
      <c r="K173" s="1"/>
      <c r="L173" s="1"/>
      <c r="M173" s="1"/>
      <c r="N173" s="1"/>
      <c r="O173" s="1"/>
      <c r="P173" s="1"/>
      <c r="Q173" s="1">
        <v>18</v>
      </c>
      <c r="R173" s="1">
        <f>SUM(C173:Q173)</f>
        <v>18</v>
      </c>
    </row>
    <row r="174" spans="1:19" s="13" customFormat="1" ht="21.75" customHeight="1" x14ac:dyDescent="0.25">
      <c r="A174" s="1" t="s">
        <v>34</v>
      </c>
      <c r="B174" s="9" t="s">
        <v>202</v>
      </c>
      <c r="C174" s="1"/>
      <c r="D174" s="1"/>
      <c r="E174" s="1"/>
      <c r="F174" s="1"/>
      <c r="G174" s="1"/>
      <c r="H174" s="1"/>
      <c r="I174" s="1"/>
      <c r="J174" s="1"/>
      <c r="K174" s="1"/>
      <c r="L174" s="1"/>
      <c r="M174" s="1"/>
      <c r="N174" s="1"/>
      <c r="O174" s="1"/>
      <c r="P174" s="1"/>
      <c r="Q174" s="1">
        <v>18</v>
      </c>
      <c r="R174" s="1">
        <f>SUM(C174:Q174)</f>
        <v>18</v>
      </c>
      <c r="S174" s="7"/>
    </row>
    <row r="175" spans="1:19" s="13" customFormat="1" ht="21.75" customHeight="1" x14ac:dyDescent="0.25">
      <c r="A175" s="1" t="s">
        <v>34</v>
      </c>
      <c r="B175" s="9" t="s">
        <v>203</v>
      </c>
      <c r="C175" s="1"/>
      <c r="D175" s="1"/>
      <c r="E175" s="1">
        <v>12</v>
      </c>
      <c r="F175" s="1"/>
      <c r="G175" s="1"/>
      <c r="H175" s="1"/>
      <c r="I175" s="1">
        <v>6</v>
      </c>
      <c r="J175" s="1"/>
      <c r="K175" s="1"/>
      <c r="L175" s="1"/>
      <c r="M175" s="1"/>
      <c r="N175" s="1"/>
      <c r="O175" s="1"/>
      <c r="P175" s="1"/>
      <c r="Q175" s="1"/>
      <c r="R175" s="1">
        <f>SUM(C175:Q175)</f>
        <v>18</v>
      </c>
      <c r="S175" s="7"/>
    </row>
    <row r="176" spans="1:19" s="13" customFormat="1" ht="21.75" customHeight="1" x14ac:dyDescent="0.25">
      <c r="A176" s="1" t="s">
        <v>34</v>
      </c>
      <c r="B176" s="9" t="s">
        <v>204</v>
      </c>
      <c r="C176" s="1"/>
      <c r="D176" s="1"/>
      <c r="E176" s="1">
        <v>12</v>
      </c>
      <c r="F176" s="1"/>
      <c r="G176" s="1"/>
      <c r="H176" s="1"/>
      <c r="I176" s="1">
        <v>6</v>
      </c>
      <c r="J176" s="1"/>
      <c r="K176" s="1"/>
      <c r="L176" s="1"/>
      <c r="M176" s="1"/>
      <c r="N176" s="1"/>
      <c r="O176" s="1"/>
      <c r="P176" s="1"/>
      <c r="Q176" s="1"/>
      <c r="R176" s="1">
        <f>SUM(C176:Q176)</f>
        <v>18</v>
      </c>
      <c r="S176" s="7"/>
    </row>
    <row r="177" spans="1:19" s="13" customFormat="1" ht="21.75" customHeight="1" x14ac:dyDescent="0.25">
      <c r="A177" s="1">
        <v>174</v>
      </c>
      <c r="B177" s="9" t="s">
        <v>205</v>
      </c>
      <c r="C177" s="1"/>
      <c r="D177" s="1"/>
      <c r="E177" s="1"/>
      <c r="F177" s="1"/>
      <c r="G177" s="1"/>
      <c r="H177" s="1"/>
      <c r="I177" s="1">
        <v>12</v>
      </c>
      <c r="J177" s="1"/>
      <c r="K177" s="1"/>
      <c r="L177" s="1"/>
      <c r="M177" s="1"/>
      <c r="N177" s="1"/>
      <c r="O177" s="1"/>
      <c r="P177" s="1"/>
      <c r="Q177" s="1"/>
      <c r="R177" s="1">
        <f>SUM(C177:Q177)</f>
        <v>12</v>
      </c>
      <c r="S177" s="7"/>
    </row>
    <row r="178" spans="1:19" s="13" customFormat="1" ht="21.75" customHeight="1" x14ac:dyDescent="0.25">
      <c r="A178" s="1" t="s">
        <v>34</v>
      </c>
      <c r="B178" s="9" t="s">
        <v>206</v>
      </c>
      <c r="C178" s="1"/>
      <c r="D178" s="1"/>
      <c r="E178" s="1"/>
      <c r="F178" s="1"/>
      <c r="G178" s="1"/>
      <c r="H178" s="1"/>
      <c r="I178" s="1">
        <v>12</v>
      </c>
      <c r="J178" s="1"/>
      <c r="K178" s="1"/>
      <c r="L178" s="1"/>
      <c r="M178" s="1"/>
      <c r="N178" s="1"/>
      <c r="O178" s="1"/>
      <c r="P178" s="1"/>
      <c r="Q178" s="1"/>
      <c r="R178" s="1">
        <f>SUM(C178:Q178)</f>
        <v>12</v>
      </c>
      <c r="S178" s="7"/>
    </row>
    <row r="179" spans="1:19" s="13" customFormat="1" ht="21.75" customHeight="1" x14ac:dyDescent="0.25">
      <c r="A179" s="1" t="s">
        <v>34</v>
      </c>
      <c r="B179" s="9" t="s">
        <v>207</v>
      </c>
      <c r="C179" s="1"/>
      <c r="D179" s="1"/>
      <c r="E179" s="1">
        <v>12</v>
      </c>
      <c r="F179" s="1"/>
      <c r="G179" s="1"/>
      <c r="H179" s="1"/>
      <c r="I179" s="1"/>
      <c r="J179" s="1"/>
      <c r="K179" s="1"/>
      <c r="L179" s="1"/>
      <c r="M179" s="1"/>
      <c r="N179" s="1"/>
      <c r="O179" s="1"/>
      <c r="P179" s="1"/>
      <c r="Q179" s="1"/>
      <c r="R179" s="1">
        <f>SUM(C179:Q179)</f>
        <v>12</v>
      </c>
      <c r="S179" s="7"/>
    </row>
    <row r="180" spans="1:19" s="13" customFormat="1" ht="21.75" customHeight="1" x14ac:dyDescent="0.25">
      <c r="A180" s="1" t="s">
        <v>34</v>
      </c>
      <c r="B180" s="9" t="s">
        <v>208</v>
      </c>
      <c r="C180" s="1"/>
      <c r="D180" s="1"/>
      <c r="E180" s="1">
        <v>12</v>
      </c>
      <c r="F180" s="1"/>
      <c r="G180" s="1"/>
      <c r="H180" s="1"/>
      <c r="I180" s="1"/>
      <c r="J180" s="1"/>
      <c r="K180" s="1"/>
      <c r="L180" s="1"/>
      <c r="M180" s="1"/>
      <c r="N180" s="1"/>
      <c r="O180" s="1"/>
      <c r="P180" s="1"/>
      <c r="Q180" s="1"/>
      <c r="R180" s="1">
        <f>SUM(C180:Q180)</f>
        <v>12</v>
      </c>
      <c r="S180" s="7"/>
    </row>
    <row r="181" spans="1:19" s="13" customFormat="1" ht="21.75" customHeight="1" x14ac:dyDescent="0.25">
      <c r="A181" s="1" t="s">
        <v>34</v>
      </c>
      <c r="B181" s="9" t="s">
        <v>209</v>
      </c>
      <c r="C181" s="1"/>
      <c r="D181" s="1"/>
      <c r="E181" s="1">
        <v>12</v>
      </c>
      <c r="F181" s="1"/>
      <c r="G181" s="1"/>
      <c r="H181" s="1"/>
      <c r="I181" s="1"/>
      <c r="J181" s="1"/>
      <c r="K181" s="1"/>
      <c r="L181" s="1"/>
      <c r="M181" s="1"/>
      <c r="N181" s="1"/>
      <c r="O181" s="1"/>
      <c r="P181" s="1"/>
      <c r="Q181" s="1"/>
      <c r="R181" s="1">
        <f>SUM(C181:Q181)</f>
        <v>12</v>
      </c>
      <c r="S181" s="7"/>
    </row>
    <row r="182" spans="1:19" s="13" customFormat="1" ht="21.75" customHeight="1" x14ac:dyDescent="0.25">
      <c r="A182" s="1" t="s">
        <v>34</v>
      </c>
      <c r="B182" s="9" t="s">
        <v>210</v>
      </c>
      <c r="C182" s="1"/>
      <c r="D182" s="1"/>
      <c r="E182" s="1">
        <v>12</v>
      </c>
      <c r="F182" s="1"/>
      <c r="G182" s="1"/>
      <c r="H182" s="1"/>
      <c r="I182" s="1"/>
      <c r="J182" s="1"/>
      <c r="K182" s="1"/>
      <c r="L182" s="1"/>
      <c r="M182" s="1"/>
      <c r="N182" s="1"/>
      <c r="O182" s="1"/>
      <c r="P182" s="1"/>
      <c r="Q182" s="1"/>
      <c r="R182" s="1">
        <f>SUM(C182:Q182)</f>
        <v>12</v>
      </c>
      <c r="S182" s="7"/>
    </row>
    <row r="183" spans="1:19" s="13" customFormat="1" ht="21.75" customHeight="1" x14ac:dyDescent="0.25">
      <c r="A183" s="1" t="s">
        <v>34</v>
      </c>
      <c r="B183" s="9" t="s">
        <v>211</v>
      </c>
      <c r="C183" s="1"/>
      <c r="D183" s="1"/>
      <c r="E183" s="1">
        <v>12</v>
      </c>
      <c r="F183" s="1"/>
      <c r="G183" s="1"/>
      <c r="H183" s="1"/>
      <c r="I183" s="1"/>
      <c r="J183" s="1"/>
      <c r="K183" s="1"/>
      <c r="L183" s="1"/>
      <c r="M183" s="1"/>
      <c r="N183" s="1"/>
      <c r="O183" s="1"/>
      <c r="P183" s="1"/>
      <c r="Q183" s="1"/>
      <c r="R183" s="1">
        <f>SUM(C183:Q183)</f>
        <v>12</v>
      </c>
      <c r="S183" s="7"/>
    </row>
    <row r="184" spans="1:19" s="13" customFormat="1" ht="21.75" customHeight="1" x14ac:dyDescent="0.25">
      <c r="A184" s="1" t="s">
        <v>34</v>
      </c>
      <c r="B184" s="9" t="s">
        <v>212</v>
      </c>
      <c r="C184" s="1"/>
      <c r="D184" s="1"/>
      <c r="E184" s="1">
        <v>12</v>
      </c>
      <c r="F184" s="1"/>
      <c r="G184" s="1"/>
      <c r="H184" s="1"/>
      <c r="I184" s="1"/>
      <c r="J184" s="1"/>
      <c r="K184" s="1"/>
      <c r="L184" s="1"/>
      <c r="M184" s="1"/>
      <c r="N184" s="1"/>
      <c r="O184" s="1"/>
      <c r="P184" s="1"/>
      <c r="Q184" s="1"/>
      <c r="R184" s="1">
        <f>SUM(C184:Q184)</f>
        <v>12</v>
      </c>
      <c r="S184" s="7"/>
    </row>
    <row r="185" spans="1:19" s="13" customFormat="1" ht="21.75" customHeight="1" x14ac:dyDescent="0.25">
      <c r="A185" s="1">
        <v>182</v>
      </c>
      <c r="B185" s="9" t="s">
        <v>213</v>
      </c>
      <c r="C185" s="1"/>
      <c r="D185" s="1"/>
      <c r="E185" s="1"/>
      <c r="F185" s="1"/>
      <c r="G185" s="1"/>
      <c r="H185" s="1"/>
      <c r="I185" s="1">
        <v>6</v>
      </c>
      <c r="J185" s="1"/>
      <c r="K185" s="1"/>
      <c r="L185" s="1"/>
      <c r="M185" s="1"/>
      <c r="N185" s="1"/>
      <c r="O185" s="1"/>
      <c r="P185" s="1"/>
      <c r="Q185" s="1"/>
      <c r="R185" s="1">
        <f>SUM(C185:Q185)</f>
        <v>6</v>
      </c>
      <c r="S185" s="7"/>
    </row>
    <row r="186" spans="1:19" s="13" customFormat="1" ht="21.75" customHeight="1" x14ac:dyDescent="0.25">
      <c r="A186" s="1" t="s">
        <v>34</v>
      </c>
      <c r="B186" s="9" t="s">
        <v>214</v>
      </c>
      <c r="C186" s="1"/>
      <c r="D186" s="1"/>
      <c r="E186" s="1"/>
      <c r="F186" s="1"/>
      <c r="G186" s="1"/>
      <c r="H186" s="1"/>
      <c r="I186" s="1">
        <v>6</v>
      </c>
      <c r="J186" s="1"/>
      <c r="K186" s="1"/>
      <c r="L186" s="1"/>
      <c r="M186" s="1"/>
      <c r="N186" s="1"/>
      <c r="O186" s="1"/>
      <c r="P186" s="1"/>
      <c r="Q186" s="1"/>
      <c r="R186" s="1">
        <f>SUM(C186:Q186)</f>
        <v>6</v>
      </c>
      <c r="S186" s="7"/>
    </row>
    <row r="187" spans="1:19" s="13" customFormat="1" ht="21.75" customHeight="1" x14ac:dyDescent="0.25">
      <c r="A187" s="1" t="s">
        <v>34</v>
      </c>
      <c r="B187" s="9" t="s">
        <v>215</v>
      </c>
      <c r="C187" s="1"/>
      <c r="D187" s="1"/>
      <c r="E187" s="1"/>
      <c r="F187" s="1"/>
      <c r="G187" s="1"/>
      <c r="H187" s="1"/>
      <c r="I187" s="1">
        <v>6</v>
      </c>
      <c r="J187" s="1"/>
      <c r="K187" s="1"/>
      <c r="L187" s="1"/>
      <c r="M187" s="1"/>
      <c r="N187" s="1"/>
      <c r="O187" s="1"/>
      <c r="P187" s="1"/>
      <c r="Q187" s="1"/>
      <c r="R187" s="1">
        <f>SUM(C187:Q187)</f>
        <v>6</v>
      </c>
      <c r="S187" s="7"/>
    </row>
    <row r="188" spans="1:19" s="13" customFormat="1" ht="21.75" customHeight="1" x14ac:dyDescent="0.25">
      <c r="A188" s="1" t="s">
        <v>34</v>
      </c>
      <c r="B188" s="9" t="s">
        <v>216</v>
      </c>
      <c r="C188" s="1"/>
      <c r="D188" s="1"/>
      <c r="E188" s="1"/>
      <c r="F188" s="1"/>
      <c r="G188" s="1"/>
      <c r="H188" s="1"/>
      <c r="I188" s="1">
        <v>6</v>
      </c>
      <c r="J188" s="1"/>
      <c r="K188" s="1"/>
      <c r="L188" s="1"/>
      <c r="M188" s="1"/>
      <c r="N188" s="1"/>
      <c r="O188" s="1"/>
      <c r="P188" s="1"/>
      <c r="Q188" s="1"/>
      <c r="R188" s="1">
        <f>SUM(C188:Q188)</f>
        <v>6</v>
      </c>
      <c r="S188" s="7"/>
    </row>
    <row r="189" spans="1:19" s="13" customFormat="1" ht="21.75" customHeight="1" x14ac:dyDescent="0.25">
      <c r="A189" s="1" t="s">
        <v>34</v>
      </c>
      <c r="B189" s="9" t="s">
        <v>217</v>
      </c>
      <c r="C189" s="1"/>
      <c r="D189" s="1"/>
      <c r="E189" s="1"/>
      <c r="F189" s="1"/>
      <c r="G189" s="1"/>
      <c r="H189" s="1"/>
      <c r="I189" s="1">
        <v>6</v>
      </c>
      <c r="J189" s="1"/>
      <c r="K189" s="1"/>
      <c r="L189" s="1"/>
      <c r="M189" s="1"/>
      <c r="N189" s="1"/>
      <c r="O189" s="1"/>
      <c r="P189" s="1"/>
      <c r="Q189" s="1"/>
      <c r="R189" s="1">
        <f>SUM(C189:Q189)</f>
        <v>6</v>
      </c>
      <c r="S189" s="7"/>
    </row>
    <row r="190" spans="1:19" s="13" customFormat="1" ht="21.75" customHeight="1" x14ac:dyDescent="0.25">
      <c r="A190" s="1" t="s">
        <v>34</v>
      </c>
      <c r="B190" s="14" t="s">
        <v>218</v>
      </c>
      <c r="C190" s="1"/>
      <c r="D190" s="1"/>
      <c r="E190" s="1"/>
      <c r="F190" s="1"/>
      <c r="G190" s="1"/>
      <c r="H190" s="1"/>
      <c r="I190" s="1">
        <v>6</v>
      </c>
      <c r="J190" s="1"/>
      <c r="K190" s="1"/>
      <c r="L190" s="1"/>
      <c r="M190" s="1"/>
      <c r="N190" s="1"/>
      <c r="O190" s="1"/>
      <c r="P190" s="1"/>
      <c r="Q190" s="1"/>
      <c r="R190" s="1">
        <f>SUM(C190:Q190)</f>
        <v>6</v>
      </c>
      <c r="S190" s="7"/>
    </row>
    <row r="191" spans="1:19" s="13" customFormat="1" ht="21.75" customHeight="1" x14ac:dyDescent="0.25">
      <c r="A191" s="1" t="s">
        <v>34</v>
      </c>
      <c r="B191" s="2" t="s">
        <v>219</v>
      </c>
      <c r="C191" s="1"/>
      <c r="D191" s="1"/>
      <c r="E191" s="1"/>
      <c r="F191" s="1"/>
      <c r="G191" s="1"/>
      <c r="H191" s="1"/>
      <c r="I191" s="1">
        <v>6</v>
      </c>
      <c r="J191" s="1"/>
      <c r="K191" s="1"/>
      <c r="L191" s="1"/>
      <c r="M191" s="1"/>
      <c r="N191" s="1"/>
      <c r="O191" s="1"/>
      <c r="P191" s="1"/>
      <c r="Q191" s="1"/>
      <c r="R191" s="1">
        <f>SUM(C191:Q191)</f>
        <v>6</v>
      </c>
      <c r="S191" s="7"/>
    </row>
    <row r="192" spans="1:19" s="13" customFormat="1" ht="21.75" customHeight="1" x14ac:dyDescent="0.25">
      <c r="A192" s="1" t="s">
        <v>34</v>
      </c>
      <c r="B192" s="2" t="s">
        <v>220</v>
      </c>
      <c r="C192" s="1"/>
      <c r="D192" s="1"/>
      <c r="E192" s="1"/>
      <c r="F192" s="1"/>
      <c r="G192" s="1"/>
      <c r="H192" s="1"/>
      <c r="I192" s="1">
        <v>6</v>
      </c>
      <c r="J192" s="1"/>
      <c r="K192" s="1"/>
      <c r="L192" s="1"/>
      <c r="M192" s="1"/>
      <c r="N192" s="1"/>
      <c r="O192" s="1"/>
      <c r="P192" s="1"/>
      <c r="Q192" s="1"/>
      <c r="R192" s="1">
        <f>SUM(C192:Q192)</f>
        <v>6</v>
      </c>
      <c r="S192" s="7"/>
    </row>
    <row r="193" spans="1:19" s="13" customFormat="1" ht="21.75" customHeight="1" x14ac:dyDescent="0.25">
      <c r="A193" s="1" t="s">
        <v>34</v>
      </c>
      <c r="B193" s="2" t="s">
        <v>221</v>
      </c>
      <c r="C193" s="1"/>
      <c r="D193" s="1"/>
      <c r="E193" s="1"/>
      <c r="F193" s="1"/>
      <c r="G193" s="1"/>
      <c r="H193" s="1"/>
      <c r="I193" s="1">
        <v>6</v>
      </c>
      <c r="J193" s="1"/>
      <c r="K193" s="1"/>
      <c r="L193" s="1"/>
      <c r="M193" s="1"/>
      <c r="N193" s="1"/>
      <c r="O193" s="1"/>
      <c r="P193" s="1"/>
      <c r="Q193" s="1"/>
      <c r="R193" s="1">
        <f>SUM(C193:Q193)</f>
        <v>6</v>
      </c>
      <c r="S193" s="7"/>
    </row>
    <row r="194" spans="1:19" s="13" customFormat="1" ht="21.75" customHeight="1" x14ac:dyDescent="0.25">
      <c r="A194" s="1">
        <v>191</v>
      </c>
      <c r="B194" s="9" t="s">
        <v>222</v>
      </c>
      <c r="C194" s="1"/>
      <c r="D194" s="1"/>
      <c r="E194" s="1"/>
      <c r="F194" s="1"/>
      <c r="G194" s="1"/>
      <c r="H194" s="1"/>
      <c r="I194" s="1">
        <v>-50</v>
      </c>
      <c r="J194" s="1"/>
      <c r="K194" s="1"/>
      <c r="L194" s="1"/>
      <c r="M194" s="1"/>
      <c r="N194" s="1"/>
      <c r="O194" s="1"/>
      <c r="P194" s="1"/>
      <c r="Q194" s="1"/>
      <c r="R194" s="1">
        <f>SUM(C194:Q194)</f>
        <v>-50</v>
      </c>
      <c r="S194" s="7"/>
    </row>
    <row r="195" spans="1:19" s="13" customFormat="1" ht="21.75" customHeight="1" x14ac:dyDescent="0.25">
      <c r="A195" s="1" t="s">
        <v>34</v>
      </c>
      <c r="B195" s="9" t="s">
        <v>223</v>
      </c>
      <c r="C195" s="1"/>
      <c r="D195" s="1"/>
      <c r="E195" s="1"/>
      <c r="F195" s="1"/>
      <c r="G195" s="1"/>
      <c r="H195" s="1"/>
      <c r="I195" s="1">
        <v>-50</v>
      </c>
      <c r="J195" s="1"/>
      <c r="K195" s="1"/>
      <c r="L195" s="1"/>
      <c r="M195" s="1"/>
      <c r="N195" s="1"/>
      <c r="O195" s="1"/>
      <c r="P195" s="1"/>
      <c r="Q195" s="1"/>
      <c r="R195" s="1">
        <f>SUM(C195:Q195)</f>
        <v>-50</v>
      </c>
      <c r="S195" s="7"/>
    </row>
    <row r="196" spans="1:19" s="13" customFormat="1" ht="21.75" customHeight="1" x14ac:dyDescent="0.25">
      <c r="A196" s="1">
        <v>193</v>
      </c>
      <c r="B196" s="9" t="s">
        <v>224</v>
      </c>
      <c r="C196" s="1"/>
      <c r="D196" s="1">
        <v>-200</v>
      </c>
      <c r="E196" s="1"/>
      <c r="F196" s="1"/>
      <c r="G196" s="1"/>
      <c r="H196" s="1"/>
      <c r="I196" s="1">
        <v>6</v>
      </c>
      <c r="J196" s="1"/>
      <c r="K196" s="1"/>
      <c r="L196" s="1"/>
      <c r="M196" s="1">
        <v>54</v>
      </c>
      <c r="N196" s="1"/>
      <c r="O196" s="1"/>
      <c r="P196" s="1"/>
      <c r="Q196" s="1"/>
      <c r="R196" s="1">
        <f>SUM(C196:Q196)</f>
        <v>-140</v>
      </c>
      <c r="S196" s="7"/>
    </row>
    <row r="197" spans="1:19" s="13" customFormat="1" ht="21.75" customHeight="1" x14ac:dyDescent="0.25">
      <c r="A197" s="1">
        <v>194</v>
      </c>
      <c r="B197" s="9" t="s">
        <v>225</v>
      </c>
      <c r="C197" s="1"/>
      <c r="D197" s="1"/>
      <c r="E197" s="1"/>
      <c r="F197" s="1"/>
      <c r="G197" s="1"/>
      <c r="H197" s="1"/>
      <c r="I197" s="1"/>
      <c r="J197" s="1"/>
      <c r="K197" s="1"/>
      <c r="L197" s="1"/>
      <c r="M197" s="1">
        <v>-150</v>
      </c>
      <c r="N197" s="1"/>
      <c r="O197" s="1"/>
      <c r="P197" s="1"/>
      <c r="Q197" s="1"/>
      <c r="R197" s="1">
        <f>SUM(C197:Q197)</f>
        <v>-150</v>
      </c>
      <c r="S197" s="7"/>
    </row>
    <row r="198" spans="1:19" s="13" customFormat="1" ht="21.75" customHeight="1" x14ac:dyDescent="0.25">
      <c r="A198" s="1" t="s">
        <v>34</v>
      </c>
      <c r="B198" s="2" t="s">
        <v>226</v>
      </c>
      <c r="C198" s="1"/>
      <c r="D198" s="1"/>
      <c r="E198" s="1"/>
      <c r="F198" s="1"/>
      <c r="G198" s="1"/>
      <c r="H198" s="1"/>
      <c r="I198" s="1"/>
      <c r="J198" s="1"/>
      <c r="K198" s="1"/>
      <c r="L198" s="1"/>
      <c r="M198" s="1">
        <v>-150</v>
      </c>
      <c r="N198" s="1"/>
      <c r="O198" s="1"/>
      <c r="P198" s="1"/>
      <c r="Q198" s="1"/>
      <c r="R198" s="1">
        <f>SUM(C198:Q198)</f>
        <v>-150</v>
      </c>
      <c r="S198" s="7"/>
    </row>
    <row r="199" spans="1:19" s="13" customFormat="1" ht="21.75" customHeight="1" x14ac:dyDescent="0.25">
      <c r="A199" s="1">
        <v>196</v>
      </c>
      <c r="B199" s="9" t="s">
        <v>227</v>
      </c>
      <c r="C199" s="1"/>
      <c r="D199" s="1">
        <v>-200</v>
      </c>
      <c r="E199" s="1"/>
      <c r="F199" s="1"/>
      <c r="G199" s="1"/>
      <c r="H199" s="1"/>
      <c r="I199" s="1"/>
      <c r="J199" s="1"/>
      <c r="K199" s="1"/>
      <c r="L199" s="1"/>
      <c r="M199" s="1"/>
      <c r="N199" s="1"/>
      <c r="O199" s="1"/>
      <c r="P199" s="1"/>
      <c r="Q199" s="1"/>
      <c r="R199" s="1">
        <f>SUM(C199:Q199)</f>
        <v>-200</v>
      </c>
      <c r="S199" s="7"/>
    </row>
    <row r="200" spans="1:19" s="13" customFormat="1" ht="21.75" customHeight="1" x14ac:dyDescent="0.25">
      <c r="A200" s="1">
        <v>197</v>
      </c>
      <c r="B200" s="2" t="s">
        <v>228</v>
      </c>
      <c r="C200" s="1"/>
      <c r="D200" s="1"/>
      <c r="E200" s="1"/>
      <c r="F200" s="1"/>
      <c r="G200" s="1"/>
      <c r="H200" s="1"/>
      <c r="I200" s="1"/>
      <c r="J200" s="1"/>
      <c r="K200" s="1">
        <v>-450</v>
      </c>
      <c r="L200" s="1"/>
      <c r="M200" s="1"/>
      <c r="N200" s="1"/>
      <c r="O200" s="1"/>
      <c r="P200" s="1"/>
      <c r="Q200" s="1"/>
      <c r="R200" s="1">
        <f>SUM(C200:Q200)</f>
        <v>-450</v>
      </c>
      <c r="S200" s="7"/>
    </row>
    <row r="201" spans="1:19" s="13" customFormat="1" ht="21.75" customHeight="1" x14ac:dyDescent="0.25">
      <c r="A201" s="1" t="s">
        <v>34</v>
      </c>
      <c r="B201" s="9" t="s">
        <v>229</v>
      </c>
      <c r="C201" s="1"/>
      <c r="D201" s="1"/>
      <c r="E201" s="1"/>
      <c r="F201" s="1"/>
      <c r="G201" s="1"/>
      <c r="H201" s="1"/>
      <c r="I201" s="1"/>
      <c r="J201" s="1"/>
      <c r="K201" s="1">
        <v>-450</v>
      </c>
      <c r="L201" s="1"/>
      <c r="M201" s="1"/>
      <c r="N201" s="1"/>
      <c r="O201" s="1"/>
      <c r="P201" s="1"/>
      <c r="Q201" s="1"/>
      <c r="R201" s="1">
        <f>SUM(C201:Q201)</f>
        <v>-450</v>
      </c>
      <c r="S201" s="7"/>
    </row>
    <row r="202" spans="1:19" s="13" customFormat="1" ht="21.75" customHeight="1" x14ac:dyDescent="0.25">
      <c r="A202" s="1">
        <f t="shared" ref="A202:A233" si="0">IF(R202=R201,"-",S201)</f>
        <v>0</v>
      </c>
      <c r="B202" s="9"/>
      <c r="C202" s="1"/>
      <c r="D202" s="1"/>
      <c r="E202" s="1"/>
      <c r="F202" s="1"/>
      <c r="G202" s="1"/>
      <c r="H202" s="1"/>
      <c r="I202" s="1"/>
      <c r="J202" s="1"/>
      <c r="K202" s="1"/>
      <c r="L202" s="1"/>
      <c r="M202" s="1"/>
      <c r="N202" s="1"/>
      <c r="O202" s="1"/>
      <c r="P202" s="1"/>
      <c r="Q202" s="1"/>
      <c r="R202" s="1">
        <f t="shared" ref="R196:R259" si="1">SUM(C202:Q202)</f>
        <v>0</v>
      </c>
      <c r="S202" s="7"/>
    </row>
    <row r="203" spans="1:19" s="13" customFormat="1" ht="21.75" customHeight="1" x14ac:dyDescent="0.25">
      <c r="A203" s="1" t="str">
        <f t="shared" si="0"/>
        <v>-</v>
      </c>
      <c r="B203" s="9"/>
      <c r="C203" s="1"/>
      <c r="D203" s="1"/>
      <c r="E203" s="1"/>
      <c r="F203" s="1"/>
      <c r="G203" s="1"/>
      <c r="H203" s="1"/>
      <c r="I203" s="1"/>
      <c r="J203" s="1"/>
      <c r="K203" s="1"/>
      <c r="L203" s="1"/>
      <c r="M203" s="1"/>
      <c r="N203" s="1"/>
      <c r="O203" s="1"/>
      <c r="P203" s="1"/>
      <c r="Q203" s="1"/>
      <c r="R203" s="1">
        <f t="shared" si="1"/>
        <v>0</v>
      </c>
      <c r="S203" s="7"/>
    </row>
    <row r="204" spans="1:19" s="13" customFormat="1" ht="21.75" customHeight="1" x14ac:dyDescent="0.25">
      <c r="A204" s="1" t="str">
        <f t="shared" si="0"/>
        <v>-</v>
      </c>
      <c r="B204" s="9"/>
      <c r="C204" s="1"/>
      <c r="D204" s="1"/>
      <c r="E204" s="1"/>
      <c r="F204" s="1"/>
      <c r="G204" s="1"/>
      <c r="H204" s="1"/>
      <c r="I204" s="1"/>
      <c r="J204" s="1"/>
      <c r="K204" s="1"/>
      <c r="L204" s="1"/>
      <c r="M204" s="1"/>
      <c r="N204" s="1"/>
      <c r="O204" s="1"/>
      <c r="P204" s="1"/>
      <c r="Q204" s="1"/>
      <c r="R204" s="1">
        <f t="shared" si="1"/>
        <v>0</v>
      </c>
      <c r="S204" s="7"/>
    </row>
    <row r="205" spans="1:19" s="13" customFormat="1" ht="21.75" customHeight="1" x14ac:dyDescent="0.25">
      <c r="A205" s="1" t="str">
        <f t="shared" si="0"/>
        <v>-</v>
      </c>
      <c r="B205" s="9"/>
      <c r="C205" s="1"/>
      <c r="D205" s="1"/>
      <c r="E205" s="1"/>
      <c r="F205" s="1"/>
      <c r="G205" s="1"/>
      <c r="H205" s="1"/>
      <c r="I205" s="1"/>
      <c r="J205" s="1"/>
      <c r="K205" s="1"/>
      <c r="L205" s="1"/>
      <c r="M205" s="1"/>
      <c r="N205" s="1"/>
      <c r="O205" s="1"/>
      <c r="P205" s="1"/>
      <c r="Q205" s="1"/>
      <c r="R205" s="1">
        <f t="shared" si="1"/>
        <v>0</v>
      </c>
      <c r="S205" s="7"/>
    </row>
    <row r="206" spans="1:19" s="13" customFormat="1" ht="21.75" customHeight="1" x14ac:dyDescent="0.25">
      <c r="A206" s="1" t="str">
        <f t="shared" si="0"/>
        <v>-</v>
      </c>
      <c r="B206" s="9"/>
      <c r="C206" s="1"/>
      <c r="D206" s="1"/>
      <c r="E206" s="1"/>
      <c r="F206" s="1"/>
      <c r="G206" s="1"/>
      <c r="H206" s="1"/>
      <c r="I206" s="1"/>
      <c r="J206" s="1"/>
      <c r="K206" s="1"/>
      <c r="L206" s="1"/>
      <c r="M206" s="1"/>
      <c r="N206" s="1"/>
      <c r="O206" s="1"/>
      <c r="P206" s="1"/>
      <c r="Q206" s="1"/>
      <c r="R206" s="1">
        <f t="shared" si="1"/>
        <v>0</v>
      </c>
      <c r="S206" s="7"/>
    </row>
    <row r="207" spans="1:19" s="13" customFormat="1" ht="21.75" customHeight="1" x14ac:dyDescent="0.25">
      <c r="A207" s="1" t="str">
        <f t="shared" si="0"/>
        <v>-</v>
      </c>
      <c r="B207" s="9"/>
      <c r="C207" s="1"/>
      <c r="D207" s="1"/>
      <c r="E207" s="1"/>
      <c r="F207" s="1"/>
      <c r="G207" s="1"/>
      <c r="H207" s="1"/>
      <c r="I207" s="1"/>
      <c r="J207" s="1"/>
      <c r="K207" s="1"/>
      <c r="L207" s="1"/>
      <c r="M207" s="1"/>
      <c r="N207" s="1"/>
      <c r="O207" s="1"/>
      <c r="P207" s="1"/>
      <c r="Q207" s="1"/>
      <c r="R207" s="1">
        <f t="shared" si="1"/>
        <v>0</v>
      </c>
      <c r="S207" s="7"/>
    </row>
    <row r="208" spans="1:19" s="13" customFormat="1" ht="21.75" customHeight="1" x14ac:dyDescent="0.25">
      <c r="A208" s="1" t="str">
        <f t="shared" si="0"/>
        <v>-</v>
      </c>
      <c r="B208" s="9"/>
      <c r="C208" s="1"/>
      <c r="D208" s="1"/>
      <c r="E208" s="1"/>
      <c r="F208" s="1"/>
      <c r="G208" s="1"/>
      <c r="H208" s="1"/>
      <c r="I208" s="1"/>
      <c r="J208" s="1"/>
      <c r="K208" s="1"/>
      <c r="L208" s="1"/>
      <c r="M208" s="1"/>
      <c r="N208" s="1"/>
      <c r="O208" s="1"/>
      <c r="P208" s="1"/>
      <c r="Q208" s="1"/>
      <c r="R208" s="1">
        <f t="shared" si="1"/>
        <v>0</v>
      </c>
      <c r="S208" s="7"/>
    </row>
    <row r="209" spans="1:19" s="13" customFormat="1" ht="21.75" customHeight="1" x14ac:dyDescent="0.25">
      <c r="A209" s="1" t="str">
        <f t="shared" si="0"/>
        <v>-</v>
      </c>
      <c r="B209" s="9"/>
      <c r="C209" s="1"/>
      <c r="D209" s="1"/>
      <c r="E209" s="1"/>
      <c r="F209" s="1"/>
      <c r="G209" s="1"/>
      <c r="H209" s="1"/>
      <c r="I209" s="1"/>
      <c r="J209" s="1"/>
      <c r="K209" s="1"/>
      <c r="L209" s="1"/>
      <c r="M209" s="1"/>
      <c r="N209" s="1"/>
      <c r="O209" s="1"/>
      <c r="P209" s="1"/>
      <c r="Q209" s="1"/>
      <c r="R209" s="1">
        <f t="shared" si="1"/>
        <v>0</v>
      </c>
      <c r="S209" s="7"/>
    </row>
    <row r="210" spans="1:19" s="13" customFormat="1" ht="21.75" customHeight="1" x14ac:dyDescent="0.25">
      <c r="A210" s="1" t="str">
        <f t="shared" si="0"/>
        <v>-</v>
      </c>
      <c r="B210" s="9"/>
      <c r="C210" s="1"/>
      <c r="D210" s="1"/>
      <c r="E210" s="1"/>
      <c r="F210" s="1"/>
      <c r="G210" s="1"/>
      <c r="H210" s="1"/>
      <c r="I210" s="1"/>
      <c r="J210" s="1"/>
      <c r="K210" s="1"/>
      <c r="L210" s="1"/>
      <c r="M210" s="1"/>
      <c r="N210" s="1"/>
      <c r="O210" s="1"/>
      <c r="P210" s="1"/>
      <c r="Q210" s="1"/>
      <c r="R210" s="1">
        <f t="shared" si="1"/>
        <v>0</v>
      </c>
      <c r="S210" s="7"/>
    </row>
    <row r="211" spans="1:19" s="13" customFormat="1" ht="21.75" customHeight="1" x14ac:dyDescent="0.25">
      <c r="A211" s="1" t="str">
        <f t="shared" si="0"/>
        <v>-</v>
      </c>
      <c r="B211" s="9"/>
      <c r="C211" s="1"/>
      <c r="D211" s="1"/>
      <c r="E211" s="1"/>
      <c r="F211" s="1"/>
      <c r="G211" s="1"/>
      <c r="H211" s="1"/>
      <c r="I211" s="1"/>
      <c r="J211" s="1"/>
      <c r="K211" s="1"/>
      <c r="L211" s="1"/>
      <c r="M211" s="1"/>
      <c r="N211" s="1"/>
      <c r="O211" s="1"/>
      <c r="P211" s="1"/>
      <c r="Q211" s="1"/>
      <c r="R211" s="1">
        <f t="shared" si="1"/>
        <v>0</v>
      </c>
      <c r="S211" s="7"/>
    </row>
    <row r="212" spans="1:19" s="13" customFormat="1" ht="21.75" customHeight="1" x14ac:dyDescent="0.25">
      <c r="A212" s="1" t="str">
        <f t="shared" si="0"/>
        <v>-</v>
      </c>
      <c r="B212" s="9"/>
      <c r="C212" s="1"/>
      <c r="D212" s="1"/>
      <c r="E212" s="1"/>
      <c r="F212" s="1"/>
      <c r="G212" s="1"/>
      <c r="H212" s="1"/>
      <c r="I212" s="1"/>
      <c r="J212" s="1"/>
      <c r="K212" s="1"/>
      <c r="L212" s="1"/>
      <c r="M212" s="1"/>
      <c r="N212" s="1"/>
      <c r="O212" s="1"/>
      <c r="P212" s="1"/>
      <c r="Q212" s="1"/>
      <c r="R212" s="1">
        <f t="shared" si="1"/>
        <v>0</v>
      </c>
      <c r="S212" s="7"/>
    </row>
    <row r="213" spans="1:19" ht="21.75" customHeight="1" x14ac:dyDescent="0.25">
      <c r="A213" s="1" t="str">
        <f t="shared" si="0"/>
        <v>-</v>
      </c>
      <c r="B213" s="9"/>
      <c r="R213" s="1">
        <f t="shared" si="1"/>
        <v>0</v>
      </c>
      <c r="S213" s="7"/>
    </row>
    <row r="214" spans="1:19" ht="21.75" customHeight="1" x14ac:dyDescent="0.25">
      <c r="A214" s="1" t="str">
        <f t="shared" si="0"/>
        <v>-</v>
      </c>
      <c r="B214" s="9"/>
      <c r="R214" s="1">
        <f t="shared" si="1"/>
        <v>0</v>
      </c>
      <c r="S214" s="7"/>
    </row>
    <row r="215" spans="1:19" ht="21.75" customHeight="1" x14ac:dyDescent="0.25">
      <c r="A215" s="1" t="str">
        <f t="shared" si="0"/>
        <v>-</v>
      </c>
      <c r="B215" s="9"/>
      <c r="R215" s="1">
        <f t="shared" si="1"/>
        <v>0</v>
      </c>
      <c r="S215" s="7"/>
    </row>
    <row r="216" spans="1:19" ht="21.75" customHeight="1" x14ac:dyDescent="0.25">
      <c r="A216" s="1" t="str">
        <f t="shared" si="0"/>
        <v>-</v>
      </c>
      <c r="B216" s="9"/>
      <c r="R216" s="1">
        <f t="shared" si="1"/>
        <v>0</v>
      </c>
      <c r="S216" s="7"/>
    </row>
    <row r="217" spans="1:19" ht="21.75" customHeight="1" x14ac:dyDescent="0.25">
      <c r="A217" s="1" t="str">
        <f t="shared" si="0"/>
        <v>-</v>
      </c>
      <c r="B217" s="9"/>
      <c r="R217" s="1">
        <f t="shared" si="1"/>
        <v>0</v>
      </c>
      <c r="S217" s="7"/>
    </row>
    <row r="218" spans="1:19" ht="21.75" customHeight="1" x14ac:dyDescent="0.25">
      <c r="A218" s="1" t="str">
        <f t="shared" si="0"/>
        <v>-</v>
      </c>
      <c r="B218" s="9"/>
      <c r="R218" s="1">
        <f t="shared" si="1"/>
        <v>0</v>
      </c>
      <c r="S218" s="7"/>
    </row>
    <row r="219" spans="1:19" ht="21.75" customHeight="1" x14ac:dyDescent="0.25">
      <c r="A219" s="1" t="str">
        <f t="shared" si="0"/>
        <v>-</v>
      </c>
      <c r="B219" s="9"/>
      <c r="R219" s="1">
        <f t="shared" si="1"/>
        <v>0</v>
      </c>
      <c r="S219" s="7"/>
    </row>
    <row r="220" spans="1:19" ht="21.75" customHeight="1" x14ac:dyDescent="0.25">
      <c r="A220" s="1" t="str">
        <f t="shared" si="0"/>
        <v>-</v>
      </c>
      <c r="B220" s="9"/>
      <c r="R220" s="1">
        <f t="shared" si="1"/>
        <v>0</v>
      </c>
      <c r="S220" s="7"/>
    </row>
    <row r="221" spans="1:19" ht="21.75" customHeight="1" x14ac:dyDescent="0.25">
      <c r="A221" s="1" t="str">
        <f t="shared" si="0"/>
        <v>-</v>
      </c>
      <c r="B221" s="9"/>
      <c r="R221" s="1">
        <f t="shared" si="1"/>
        <v>0</v>
      </c>
      <c r="S221" s="7"/>
    </row>
    <row r="222" spans="1:19" ht="21.75" customHeight="1" x14ac:dyDescent="0.25">
      <c r="A222" s="1" t="str">
        <f t="shared" si="0"/>
        <v>-</v>
      </c>
      <c r="B222" s="9"/>
      <c r="R222" s="1">
        <f t="shared" si="1"/>
        <v>0</v>
      </c>
      <c r="S222" s="7"/>
    </row>
    <row r="223" spans="1:19" ht="21.75" customHeight="1" x14ac:dyDescent="0.25">
      <c r="A223" s="1" t="str">
        <f t="shared" si="0"/>
        <v>-</v>
      </c>
      <c r="B223" s="9"/>
      <c r="R223" s="1">
        <f t="shared" si="1"/>
        <v>0</v>
      </c>
      <c r="S223" s="7"/>
    </row>
    <row r="224" spans="1:19" ht="21.75" customHeight="1" x14ac:dyDescent="0.25">
      <c r="A224" s="1" t="str">
        <f t="shared" si="0"/>
        <v>-</v>
      </c>
      <c r="B224" s="9"/>
      <c r="R224" s="1">
        <f t="shared" si="1"/>
        <v>0</v>
      </c>
      <c r="S224" s="7"/>
    </row>
    <row r="225" spans="1:19" ht="21.75" customHeight="1" x14ac:dyDescent="0.25">
      <c r="A225" s="1" t="str">
        <f t="shared" si="0"/>
        <v>-</v>
      </c>
      <c r="B225" s="9"/>
      <c r="R225" s="1">
        <f t="shared" si="1"/>
        <v>0</v>
      </c>
      <c r="S225" s="7"/>
    </row>
    <row r="226" spans="1:19" ht="21.75" customHeight="1" x14ac:dyDescent="0.25">
      <c r="A226" s="1" t="str">
        <f t="shared" si="0"/>
        <v>-</v>
      </c>
      <c r="B226" s="9"/>
      <c r="R226" s="1">
        <f t="shared" si="1"/>
        <v>0</v>
      </c>
      <c r="S226" s="7"/>
    </row>
    <row r="227" spans="1:19" ht="21.75" customHeight="1" x14ac:dyDescent="0.25">
      <c r="A227" s="1" t="str">
        <f t="shared" si="0"/>
        <v>-</v>
      </c>
      <c r="B227" s="9"/>
      <c r="R227" s="1">
        <f t="shared" si="1"/>
        <v>0</v>
      </c>
      <c r="S227" s="7"/>
    </row>
    <row r="228" spans="1:19" ht="21.75" customHeight="1" x14ac:dyDescent="0.25">
      <c r="A228" s="1" t="str">
        <f t="shared" si="0"/>
        <v>-</v>
      </c>
      <c r="B228" s="9"/>
      <c r="R228" s="1">
        <f t="shared" si="1"/>
        <v>0</v>
      </c>
      <c r="S228" s="7"/>
    </row>
    <row r="229" spans="1:19" ht="21.75" customHeight="1" x14ac:dyDescent="0.25">
      <c r="A229" s="1" t="str">
        <f t="shared" si="0"/>
        <v>-</v>
      </c>
      <c r="B229" s="9"/>
      <c r="R229" s="1">
        <f t="shared" si="1"/>
        <v>0</v>
      </c>
      <c r="S229" s="7"/>
    </row>
    <row r="230" spans="1:19" ht="21.75" customHeight="1" x14ac:dyDescent="0.25">
      <c r="A230" s="1" t="str">
        <f t="shared" si="0"/>
        <v>-</v>
      </c>
      <c r="B230" s="9"/>
      <c r="R230" s="1">
        <f t="shared" si="1"/>
        <v>0</v>
      </c>
      <c r="S230" s="7"/>
    </row>
    <row r="231" spans="1:19" ht="21.75" customHeight="1" x14ac:dyDescent="0.25">
      <c r="A231" s="1" t="str">
        <f t="shared" si="0"/>
        <v>-</v>
      </c>
      <c r="B231" s="9"/>
      <c r="R231" s="1">
        <f t="shared" si="1"/>
        <v>0</v>
      </c>
      <c r="S231" s="7"/>
    </row>
    <row r="232" spans="1:19" ht="21.75" customHeight="1" x14ac:dyDescent="0.25">
      <c r="A232" s="1" t="str">
        <f t="shared" si="0"/>
        <v>-</v>
      </c>
      <c r="R232" s="1">
        <f t="shared" si="1"/>
        <v>0</v>
      </c>
      <c r="S232" s="7"/>
    </row>
    <row r="233" spans="1:19" ht="21.75" customHeight="1" x14ac:dyDescent="0.25">
      <c r="A233" s="1" t="str">
        <f t="shared" si="0"/>
        <v>-</v>
      </c>
      <c r="B233" s="9"/>
      <c r="R233" s="1">
        <f t="shared" si="1"/>
        <v>0</v>
      </c>
      <c r="S233" s="7"/>
    </row>
    <row r="234" spans="1:19" ht="21.75" customHeight="1" x14ac:dyDescent="0.25">
      <c r="A234" s="1" t="str">
        <f t="shared" ref="A234:A265" si="2">IF(R234=R233,"-",S233)</f>
        <v>-</v>
      </c>
      <c r="B234" s="9"/>
      <c r="R234" s="1">
        <f t="shared" si="1"/>
        <v>0</v>
      </c>
      <c r="S234" s="7"/>
    </row>
    <row r="235" spans="1:19" ht="21.75" customHeight="1" x14ac:dyDescent="0.25">
      <c r="A235" s="1" t="str">
        <f t="shared" si="2"/>
        <v>-</v>
      </c>
      <c r="B235" s="9"/>
      <c r="R235" s="1">
        <f t="shared" si="1"/>
        <v>0</v>
      </c>
      <c r="S235" s="7"/>
    </row>
    <row r="236" spans="1:19" ht="21.75" customHeight="1" x14ac:dyDescent="0.25">
      <c r="A236" s="1" t="str">
        <f t="shared" si="2"/>
        <v>-</v>
      </c>
      <c r="B236" s="9"/>
      <c r="R236" s="1">
        <f t="shared" si="1"/>
        <v>0</v>
      </c>
      <c r="S236" s="7"/>
    </row>
    <row r="237" spans="1:19" ht="21.75" customHeight="1" x14ac:dyDescent="0.25">
      <c r="A237" s="1" t="str">
        <f t="shared" si="2"/>
        <v>-</v>
      </c>
      <c r="R237" s="1">
        <f t="shared" si="1"/>
        <v>0</v>
      </c>
      <c r="S237" s="7"/>
    </row>
    <row r="238" spans="1:19" ht="21.75" customHeight="1" x14ac:dyDescent="0.25">
      <c r="A238" s="1" t="str">
        <f t="shared" si="2"/>
        <v>-</v>
      </c>
      <c r="B238" s="9"/>
      <c r="R238" s="1">
        <f t="shared" si="1"/>
        <v>0</v>
      </c>
      <c r="S238" s="7"/>
    </row>
    <row r="239" spans="1:19" ht="21.75" customHeight="1" x14ac:dyDescent="0.25">
      <c r="A239" s="1" t="str">
        <f t="shared" si="2"/>
        <v>-</v>
      </c>
      <c r="B239" s="9"/>
      <c r="R239" s="1">
        <f t="shared" si="1"/>
        <v>0</v>
      </c>
      <c r="S239" s="7"/>
    </row>
    <row r="240" spans="1:19" ht="21.75" customHeight="1" x14ac:dyDescent="0.25">
      <c r="A240" s="1" t="str">
        <f t="shared" si="2"/>
        <v>-</v>
      </c>
      <c r="B240" s="9"/>
      <c r="R240" s="1">
        <f t="shared" si="1"/>
        <v>0</v>
      </c>
      <c r="S240" s="7"/>
    </row>
    <row r="241" spans="1:19" ht="21.75" customHeight="1" x14ac:dyDescent="0.25">
      <c r="A241" s="1" t="str">
        <f t="shared" si="2"/>
        <v>-</v>
      </c>
      <c r="R241" s="1">
        <f t="shared" si="1"/>
        <v>0</v>
      </c>
      <c r="S241" s="7"/>
    </row>
    <row r="242" spans="1:19" ht="21.75" customHeight="1" x14ac:dyDescent="0.25">
      <c r="A242" s="1" t="str">
        <f t="shared" si="2"/>
        <v>-</v>
      </c>
      <c r="R242" s="1">
        <f t="shared" si="1"/>
        <v>0</v>
      </c>
      <c r="S242" s="7"/>
    </row>
    <row r="243" spans="1:19" ht="21.75" customHeight="1" x14ac:dyDescent="0.25">
      <c r="A243" s="1" t="str">
        <f t="shared" si="2"/>
        <v>-</v>
      </c>
      <c r="B243" s="9"/>
      <c r="R243" s="1">
        <f t="shared" si="1"/>
        <v>0</v>
      </c>
      <c r="S243" s="7"/>
    </row>
    <row r="244" spans="1:19" ht="21.75" customHeight="1" x14ac:dyDescent="0.25">
      <c r="A244" s="1" t="str">
        <f t="shared" si="2"/>
        <v>-</v>
      </c>
      <c r="B244" s="9"/>
      <c r="R244" s="1">
        <f t="shared" si="1"/>
        <v>0</v>
      </c>
      <c r="S244" s="7"/>
    </row>
    <row r="245" spans="1:19" ht="21.75" customHeight="1" x14ac:dyDescent="0.25">
      <c r="A245" s="1" t="str">
        <f t="shared" si="2"/>
        <v>-</v>
      </c>
      <c r="B245" s="9"/>
      <c r="R245" s="1">
        <f t="shared" si="1"/>
        <v>0</v>
      </c>
      <c r="S245" s="7"/>
    </row>
    <row r="246" spans="1:19" ht="21.75" customHeight="1" x14ac:dyDescent="0.25">
      <c r="A246" s="1" t="str">
        <f t="shared" si="2"/>
        <v>-</v>
      </c>
      <c r="B246" s="9"/>
      <c r="R246" s="1">
        <f t="shared" si="1"/>
        <v>0</v>
      </c>
      <c r="S246" s="7"/>
    </row>
    <row r="247" spans="1:19" ht="21.75" customHeight="1" x14ac:dyDescent="0.25">
      <c r="A247" s="1" t="str">
        <f t="shared" si="2"/>
        <v>-</v>
      </c>
      <c r="B247" s="9"/>
      <c r="R247" s="1">
        <f t="shared" si="1"/>
        <v>0</v>
      </c>
      <c r="S247" s="7"/>
    </row>
    <row r="248" spans="1:19" ht="21.75" customHeight="1" x14ac:dyDescent="0.25">
      <c r="A248" s="1" t="str">
        <f t="shared" si="2"/>
        <v>-</v>
      </c>
      <c r="B248" s="9"/>
      <c r="R248" s="1">
        <f t="shared" si="1"/>
        <v>0</v>
      </c>
      <c r="S248" s="7"/>
    </row>
    <row r="249" spans="1:19" ht="21.75" customHeight="1" x14ac:dyDescent="0.25">
      <c r="A249" s="1" t="str">
        <f t="shared" si="2"/>
        <v>-</v>
      </c>
      <c r="B249" s="9"/>
      <c r="R249" s="1">
        <f t="shared" si="1"/>
        <v>0</v>
      </c>
      <c r="S249" s="7"/>
    </row>
    <row r="250" spans="1:19" ht="21.75" customHeight="1" x14ac:dyDescent="0.25">
      <c r="A250" s="1" t="str">
        <f t="shared" si="2"/>
        <v>-</v>
      </c>
      <c r="B250" s="9"/>
      <c r="R250" s="1">
        <f t="shared" si="1"/>
        <v>0</v>
      </c>
      <c r="S250" s="7"/>
    </row>
    <row r="251" spans="1:19" ht="21.75" customHeight="1" x14ac:dyDescent="0.25">
      <c r="A251" s="1" t="str">
        <f t="shared" si="2"/>
        <v>-</v>
      </c>
      <c r="B251" s="9"/>
      <c r="R251" s="1">
        <f t="shared" si="1"/>
        <v>0</v>
      </c>
      <c r="S251" s="7"/>
    </row>
    <row r="252" spans="1:19" ht="21.75" customHeight="1" x14ac:dyDescent="0.25">
      <c r="A252" s="1" t="str">
        <f t="shared" si="2"/>
        <v>-</v>
      </c>
      <c r="B252" s="9"/>
      <c r="R252" s="1">
        <f t="shared" si="1"/>
        <v>0</v>
      </c>
      <c r="S252" s="7"/>
    </row>
    <row r="253" spans="1:19" ht="21.75" customHeight="1" x14ac:dyDescent="0.25">
      <c r="A253" s="1" t="str">
        <f t="shared" si="2"/>
        <v>-</v>
      </c>
      <c r="B253" s="9"/>
      <c r="R253" s="1">
        <f t="shared" si="1"/>
        <v>0</v>
      </c>
      <c r="S253" s="7"/>
    </row>
    <row r="254" spans="1:19" ht="21.75" customHeight="1" x14ac:dyDescent="0.25">
      <c r="A254" s="1" t="str">
        <f t="shared" si="2"/>
        <v>-</v>
      </c>
      <c r="B254" s="9"/>
      <c r="R254" s="1">
        <f t="shared" si="1"/>
        <v>0</v>
      </c>
      <c r="S254" s="7"/>
    </row>
    <row r="255" spans="1:19" ht="21.75" customHeight="1" x14ac:dyDescent="0.25">
      <c r="A255" s="1" t="str">
        <f t="shared" si="2"/>
        <v>-</v>
      </c>
      <c r="R255" s="1">
        <f t="shared" si="1"/>
        <v>0</v>
      </c>
      <c r="S255" s="7"/>
    </row>
    <row r="256" spans="1:19" ht="21.75" customHeight="1" x14ac:dyDescent="0.25">
      <c r="A256" s="1" t="str">
        <f t="shared" si="2"/>
        <v>-</v>
      </c>
      <c r="B256" s="9"/>
      <c r="R256" s="1">
        <f t="shared" si="1"/>
        <v>0</v>
      </c>
      <c r="S256" s="7"/>
    </row>
    <row r="257" spans="1:19" ht="21.75" customHeight="1" x14ac:dyDescent="0.25">
      <c r="A257" s="1" t="str">
        <f t="shared" si="2"/>
        <v>-</v>
      </c>
      <c r="B257" s="9"/>
      <c r="R257" s="1">
        <f t="shared" si="1"/>
        <v>0</v>
      </c>
      <c r="S257" s="7"/>
    </row>
    <row r="258" spans="1:19" ht="21.75" customHeight="1" x14ac:dyDescent="0.25">
      <c r="A258" s="1" t="str">
        <f t="shared" si="2"/>
        <v>-</v>
      </c>
      <c r="B258" s="9"/>
      <c r="R258" s="1">
        <f t="shared" si="1"/>
        <v>0</v>
      </c>
      <c r="S258" s="7"/>
    </row>
    <row r="259" spans="1:19" ht="21.75" customHeight="1" x14ac:dyDescent="0.25">
      <c r="A259" s="1" t="str">
        <f t="shared" si="2"/>
        <v>-</v>
      </c>
      <c r="B259" s="9"/>
      <c r="R259" s="1">
        <f t="shared" si="1"/>
        <v>0</v>
      </c>
      <c r="S259" s="7"/>
    </row>
    <row r="260" spans="1:19" ht="21.75" customHeight="1" x14ac:dyDescent="0.25">
      <c r="A260" s="1" t="str">
        <f t="shared" si="2"/>
        <v>-</v>
      </c>
      <c r="B260" s="9"/>
      <c r="R260" s="1">
        <f t="shared" ref="R260:R277" si="3">SUM(C260:Q260)</f>
        <v>0</v>
      </c>
      <c r="S260" s="7"/>
    </row>
    <row r="261" spans="1:19" ht="21.75" customHeight="1" x14ac:dyDescent="0.25">
      <c r="A261" s="1" t="str">
        <f t="shared" si="2"/>
        <v>-</v>
      </c>
      <c r="B261" s="9"/>
      <c r="R261" s="1">
        <f t="shared" si="3"/>
        <v>0</v>
      </c>
      <c r="S261" s="7"/>
    </row>
    <row r="262" spans="1:19" ht="21.75" customHeight="1" x14ac:dyDescent="0.25">
      <c r="A262" s="1" t="str">
        <f t="shared" si="2"/>
        <v>-</v>
      </c>
      <c r="B262" s="9"/>
      <c r="R262" s="1">
        <f t="shared" si="3"/>
        <v>0</v>
      </c>
      <c r="S262" s="7"/>
    </row>
    <row r="263" spans="1:19" ht="21.75" customHeight="1" x14ac:dyDescent="0.25">
      <c r="A263" s="1" t="str">
        <f t="shared" si="2"/>
        <v>-</v>
      </c>
      <c r="R263" s="1">
        <f t="shared" si="3"/>
        <v>0</v>
      </c>
      <c r="S263" s="7"/>
    </row>
    <row r="264" spans="1:19" ht="21.75" customHeight="1" x14ac:dyDescent="0.25">
      <c r="A264" s="1" t="str">
        <f t="shared" si="2"/>
        <v>-</v>
      </c>
      <c r="B264" s="9"/>
      <c r="R264" s="1">
        <f t="shared" si="3"/>
        <v>0</v>
      </c>
      <c r="S264" s="7"/>
    </row>
    <row r="265" spans="1:19" ht="21.75" customHeight="1" x14ac:dyDescent="0.25">
      <c r="A265" s="1" t="str">
        <f t="shared" si="2"/>
        <v>-</v>
      </c>
      <c r="B265" s="9"/>
      <c r="R265" s="1">
        <f t="shared" si="3"/>
        <v>0</v>
      </c>
      <c r="S265" s="7"/>
    </row>
    <row r="266" spans="1:19" ht="21.75" customHeight="1" x14ac:dyDescent="0.25">
      <c r="A266" s="1" t="str">
        <f t="shared" ref="A266:A277" si="4">IF(R266=R265,"-",S265)</f>
        <v>-</v>
      </c>
      <c r="B266" s="9"/>
      <c r="R266" s="1">
        <f t="shared" si="3"/>
        <v>0</v>
      </c>
      <c r="S266" s="7"/>
    </row>
    <row r="267" spans="1:19" ht="21.75" customHeight="1" x14ac:dyDescent="0.25">
      <c r="A267" s="1" t="str">
        <f t="shared" si="4"/>
        <v>-</v>
      </c>
      <c r="B267" s="9"/>
      <c r="R267" s="1">
        <f t="shared" si="3"/>
        <v>0</v>
      </c>
      <c r="S267" s="7"/>
    </row>
    <row r="268" spans="1:19" ht="21.75" customHeight="1" x14ac:dyDescent="0.25">
      <c r="A268" s="1" t="str">
        <f t="shared" si="4"/>
        <v>-</v>
      </c>
      <c r="B268" s="9"/>
      <c r="R268" s="1">
        <f t="shared" si="3"/>
        <v>0</v>
      </c>
      <c r="S268" s="7"/>
    </row>
    <row r="269" spans="1:19" ht="21.75" customHeight="1" x14ac:dyDescent="0.25">
      <c r="A269" s="1" t="str">
        <f t="shared" si="4"/>
        <v>-</v>
      </c>
      <c r="B269" s="9"/>
      <c r="R269" s="1">
        <f t="shared" si="3"/>
        <v>0</v>
      </c>
      <c r="S269" s="7"/>
    </row>
    <row r="270" spans="1:19" ht="21.75" customHeight="1" x14ac:dyDescent="0.25">
      <c r="A270" s="1" t="str">
        <f t="shared" si="4"/>
        <v>-</v>
      </c>
      <c r="B270" s="9"/>
      <c r="R270" s="1">
        <f t="shared" si="3"/>
        <v>0</v>
      </c>
      <c r="S270" s="7"/>
    </row>
    <row r="271" spans="1:19" ht="21.75" customHeight="1" x14ac:dyDescent="0.25">
      <c r="A271" s="1" t="str">
        <f t="shared" si="4"/>
        <v>-</v>
      </c>
      <c r="B271" s="9"/>
      <c r="R271" s="1">
        <f t="shared" si="3"/>
        <v>0</v>
      </c>
      <c r="S271" s="7"/>
    </row>
    <row r="272" spans="1:19" ht="21.75" customHeight="1" x14ac:dyDescent="0.25">
      <c r="A272" s="1" t="str">
        <f t="shared" si="4"/>
        <v>-</v>
      </c>
      <c r="B272" s="9"/>
      <c r="R272" s="1">
        <f t="shared" si="3"/>
        <v>0</v>
      </c>
      <c r="S272" s="7"/>
    </row>
    <row r="273" spans="1:25" ht="21.75" customHeight="1" x14ac:dyDescent="0.25">
      <c r="A273" s="1" t="str">
        <f t="shared" si="4"/>
        <v>-</v>
      </c>
      <c r="B273" s="9"/>
      <c r="R273" s="1">
        <f t="shared" si="3"/>
        <v>0</v>
      </c>
      <c r="S273" s="7"/>
    </row>
    <row r="274" spans="1:25" ht="21.75" customHeight="1" x14ac:dyDescent="0.25">
      <c r="A274" s="1" t="str">
        <f t="shared" si="4"/>
        <v>-</v>
      </c>
      <c r="B274" s="9"/>
      <c r="R274" s="1">
        <f t="shared" si="3"/>
        <v>0</v>
      </c>
      <c r="S274" s="7"/>
    </row>
    <row r="275" spans="1:25" ht="21.75" customHeight="1" x14ac:dyDescent="0.25">
      <c r="A275" s="1" t="str">
        <f t="shared" si="4"/>
        <v>-</v>
      </c>
      <c r="B275" s="9"/>
      <c r="R275" s="1">
        <f t="shared" si="3"/>
        <v>0</v>
      </c>
      <c r="S275" s="7"/>
    </row>
    <row r="276" spans="1:25" ht="21.75" customHeight="1" x14ac:dyDescent="0.25">
      <c r="A276" s="1" t="str">
        <f t="shared" si="4"/>
        <v>-</v>
      </c>
      <c r="B276" s="9"/>
      <c r="R276" s="1">
        <f t="shared" si="3"/>
        <v>0</v>
      </c>
      <c r="S276" s="7"/>
    </row>
    <row r="277" spans="1:25" s="17" customFormat="1" ht="87.75" customHeight="1" x14ac:dyDescent="0.25">
      <c r="A277" s="1" t="str">
        <f t="shared" si="4"/>
        <v>-</v>
      </c>
      <c r="B277" s="9"/>
      <c r="C277" s="1"/>
      <c r="D277" s="1"/>
      <c r="E277" s="1"/>
      <c r="F277" s="1"/>
      <c r="G277" s="1"/>
      <c r="H277" s="1"/>
      <c r="I277" s="1"/>
      <c r="J277" s="1"/>
      <c r="K277" s="1"/>
      <c r="L277" s="1"/>
      <c r="M277" s="1"/>
      <c r="N277" s="1"/>
      <c r="O277" s="1"/>
      <c r="P277" s="1"/>
      <c r="Q277" s="1"/>
      <c r="R277" s="15">
        <f t="shared" si="3"/>
        <v>0</v>
      </c>
      <c r="S277" s="16"/>
      <c r="T277" s="16"/>
      <c r="U277" s="16"/>
      <c r="V277" s="16"/>
      <c r="W277" s="16"/>
      <c r="X277" s="16"/>
      <c r="Y277" s="16"/>
    </row>
    <row r="278" spans="1:25" ht="15.75" customHeight="1" x14ac:dyDescent="0.25">
      <c r="A278" s="48" t="s">
        <v>230</v>
      </c>
      <c r="B278" s="48"/>
      <c r="C278" s="18"/>
      <c r="D278" s="18"/>
      <c r="E278" s="18"/>
      <c r="F278" s="18"/>
      <c r="G278" s="18"/>
      <c r="H278" s="18"/>
      <c r="I278" s="18"/>
      <c r="J278" s="18"/>
      <c r="K278" s="18"/>
      <c r="L278" s="18"/>
      <c r="M278" s="18"/>
      <c r="N278" s="18"/>
      <c r="O278" s="18"/>
      <c r="P278" s="18"/>
      <c r="Q278" s="18"/>
      <c r="R278" s="19"/>
    </row>
    <row r="279" spans="1:25" ht="15.75" customHeight="1" x14ac:dyDescent="0.25">
      <c r="C279" s="11">
        <f t="shared" ref="C279:Q279" si="5">COUNTA(C4:C277)</f>
        <v>22</v>
      </c>
      <c r="D279" s="11">
        <f t="shared" si="5"/>
        <v>56</v>
      </c>
      <c r="E279" s="11">
        <f t="shared" si="5"/>
        <v>68</v>
      </c>
      <c r="F279" s="11">
        <f t="shared" si="5"/>
        <v>64</v>
      </c>
      <c r="G279" s="11">
        <f t="shared" si="5"/>
        <v>80</v>
      </c>
      <c r="H279" s="11">
        <f t="shared" si="5"/>
        <v>48</v>
      </c>
      <c r="I279" s="11">
        <f t="shared" si="5"/>
        <v>80</v>
      </c>
      <c r="J279" s="11">
        <f t="shared" si="5"/>
        <v>48</v>
      </c>
      <c r="K279" s="11">
        <f t="shared" si="5"/>
        <v>48</v>
      </c>
      <c r="L279" s="11">
        <f t="shared" si="5"/>
        <v>60</v>
      </c>
      <c r="M279" s="11">
        <f t="shared" si="5"/>
        <v>38</v>
      </c>
      <c r="N279" s="11">
        <f t="shared" si="5"/>
        <v>40</v>
      </c>
      <c r="O279" s="11">
        <f t="shared" si="5"/>
        <v>28</v>
      </c>
      <c r="P279" s="11">
        <f t="shared" si="5"/>
        <v>32</v>
      </c>
      <c r="Q279" s="11">
        <f t="shared" si="5"/>
        <v>26</v>
      </c>
      <c r="R279" s="20">
        <f>SUM(C279:P279)</f>
        <v>712</v>
      </c>
    </row>
    <row r="280" spans="1:25" ht="15.75" customHeight="1" x14ac:dyDescent="0.25">
      <c r="C280" s="1">
        <f t="shared" ref="C280:Q280" si="6">SUM(C4:C277)</f>
        <v>714</v>
      </c>
      <c r="D280" s="1">
        <f t="shared" si="6"/>
        <v>4184</v>
      </c>
      <c r="E280" s="1">
        <f t="shared" si="6"/>
        <v>2460</v>
      </c>
      <c r="F280" s="1">
        <f t="shared" si="6"/>
        <v>3618</v>
      </c>
      <c r="G280" s="1">
        <f t="shared" si="6"/>
        <v>10416</v>
      </c>
      <c r="H280" s="1">
        <f t="shared" si="6"/>
        <v>19482</v>
      </c>
      <c r="I280" s="1">
        <f t="shared" si="6"/>
        <v>1190</v>
      </c>
      <c r="J280" s="1">
        <f t="shared" si="6"/>
        <v>22200</v>
      </c>
      <c r="K280" s="1">
        <f t="shared" si="6"/>
        <v>8874</v>
      </c>
      <c r="L280" s="1">
        <f t="shared" si="6"/>
        <v>16548</v>
      </c>
      <c r="M280" s="1">
        <f t="shared" si="6"/>
        <v>2634</v>
      </c>
      <c r="N280" s="1">
        <f t="shared" si="6"/>
        <v>8400</v>
      </c>
      <c r="O280" s="1">
        <f t="shared" si="6"/>
        <v>16160</v>
      </c>
      <c r="P280" s="1">
        <f t="shared" si="6"/>
        <v>2718</v>
      </c>
      <c r="Q280" s="1">
        <f t="shared" si="6"/>
        <v>808</v>
      </c>
      <c r="R280" s="20">
        <f>SUM(C280:P280)</f>
        <v>119598</v>
      </c>
    </row>
    <row r="281" spans="1:25" ht="15.75" customHeight="1" x14ac:dyDescent="0.25"/>
    <row r="282" spans="1:25" ht="15.75" customHeight="1" x14ac:dyDescent="0.25"/>
    <row r="283" spans="1:25" ht="15.75" customHeight="1" x14ac:dyDescent="0.25"/>
    <row r="284" spans="1:25" ht="15.75" customHeight="1" x14ac:dyDescent="0.25"/>
    <row r="285" spans="1:25" ht="15.75" customHeight="1" x14ac:dyDescent="0.25"/>
    <row r="286" spans="1:25" ht="15.75" customHeight="1" x14ac:dyDescent="0.25"/>
    <row r="287" spans="1:25" ht="15.75" customHeight="1" x14ac:dyDescent="0.25"/>
    <row r="288" spans="1:25"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sheetData>
  <autoFilter ref="B2:B281" xr:uid="{00000000-0009-0000-0000-000000000000}"/>
  <sortState xmlns:xlrd2="http://schemas.microsoft.com/office/spreadsheetml/2017/richdata2" ref="A4:R201">
    <sortCondition descending="1" ref="R4:R201"/>
    <sortCondition descending="1" ref="Q4:Q201"/>
  </sortState>
  <mergeCells count="3">
    <mergeCell ref="A1:R1"/>
    <mergeCell ref="A2:B3"/>
    <mergeCell ref="A278:B278"/>
  </mergeCells>
  <conditionalFormatting sqref="B149">
    <cfRule type="duplicateValues" dxfId="26" priority="2"/>
    <cfRule type="duplicateValues" dxfId="25" priority="3"/>
    <cfRule type="duplicateValues" dxfId="24" priority="4"/>
    <cfRule type="duplicateValues" dxfId="23" priority="5"/>
  </conditionalFormatting>
  <conditionalFormatting sqref="B2:B148 B150:B1048576">
    <cfRule type="duplicateValues" dxfId="22" priority="6"/>
    <cfRule type="duplicateValues" dxfId="21" priority="7"/>
    <cfRule type="duplicateValues" dxfId="20" priority="8"/>
    <cfRule type="duplicateValues" dxfId="19" priority="9"/>
  </conditionalFormatting>
  <printOptions horizontalCentered="1"/>
  <pageMargins left="0.23611111111111099" right="0.23611111111111099" top="0.94513888888888897" bottom="0.35416666666666702" header="0.511811023622047" footer="0"/>
  <pageSetup paperSize="9" scale="44" fitToHeight="0" orientation="landscape" horizontalDpi="300" verticalDpi="300" r:id="rId1"/>
  <headerFooter>
    <oddFooter>&amp;R&amp;D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2">
              <controlPr defaultSize="0" autoPict="0" macro="Module2.ClearData">
                <anchor moveWithCells="1" sizeWithCells="1">
                  <from>
                    <xdr:col>18</xdr:col>
                    <xdr:colOff>38100</xdr:colOff>
                    <xdr:row>1</xdr:row>
                    <xdr:rowOff>304800</xdr:rowOff>
                  </from>
                  <to>
                    <xdr:col>19</xdr:col>
                    <xdr:colOff>152400</xdr:colOff>
                    <xdr:row>1</xdr:row>
                    <xdr:rowOff>666750</xdr:rowOff>
                  </to>
                </anchor>
              </controlPr>
            </control>
          </mc:Choice>
        </mc:AlternateContent>
        <mc:AlternateContent xmlns:mc="http://schemas.openxmlformats.org/markup-compatibility/2006">
          <mc:Choice Requires="x14">
            <control shapeId="1033" r:id="rId5" name="Button 1">
              <controlPr defaultSize="0" autoFill="0" autoPict="0" macro="Module1.SortAndRank" altText="Sort ">
                <anchor moveWithCells="1">
                  <from>
                    <xdr:col>18</xdr:col>
                    <xdr:colOff>28575</xdr:colOff>
                    <xdr:row>0</xdr:row>
                    <xdr:rowOff>66675</xdr:rowOff>
                  </from>
                  <to>
                    <xdr:col>19</xdr:col>
                    <xdr:colOff>142875</xdr:colOff>
                    <xdr:row>0</xdr:row>
                    <xdr:rowOff>428625</xdr:rowOff>
                  </to>
                </anchor>
              </controlPr>
            </control>
          </mc:Choice>
        </mc:AlternateContent>
        <mc:AlternateContent xmlns:mc="http://schemas.openxmlformats.org/markup-compatibility/2006">
          <mc:Choice Requires="x14">
            <control shapeId="1032" r:id="rId6" name="Button 3">
              <controlPr defaultSize="0" autoFill="0" autoPict="0" macro="Module3.ExportToXLSX" altText="Export">
                <anchor moveWithCells="1">
                  <from>
                    <xdr:col>18</xdr:col>
                    <xdr:colOff>47625</xdr:colOff>
                    <xdr:row>0</xdr:row>
                    <xdr:rowOff>495300</xdr:rowOff>
                  </from>
                  <to>
                    <xdr:col>19</xdr:col>
                    <xdr:colOff>161925</xdr:colOff>
                    <xdr:row>1</xdr:row>
                    <xdr:rowOff>209550</xdr:rowOff>
                  </to>
                </anchor>
              </controlPr>
            </control>
          </mc:Choice>
        </mc:AlternateContent>
        <mc:AlternateContent xmlns:mc="http://schemas.openxmlformats.org/markup-compatibility/2006">
          <mc:Choice Requires="x14">
            <control shapeId="1031" r:id="rId7" name="Button 1001">
              <controlPr defaultSize="0" autoFill="0" autoPict="0" macro="Module1.SortAndRank" altText="Sort ">
                <anchor moveWithCells="1">
                  <from>
                    <xdr:col>18</xdr:col>
                    <xdr:colOff>66675</xdr:colOff>
                    <xdr:row>0</xdr:row>
                    <xdr:rowOff>180975</xdr:rowOff>
                  </from>
                  <to>
                    <xdr:col>19</xdr:col>
                    <xdr:colOff>180975</xdr:colOff>
                    <xdr:row>1</xdr:row>
                    <xdr:rowOff>104775</xdr:rowOff>
                  </to>
                </anchor>
              </controlPr>
            </control>
          </mc:Choice>
        </mc:AlternateContent>
        <mc:AlternateContent xmlns:mc="http://schemas.openxmlformats.org/markup-compatibility/2006">
          <mc:Choice Requires="x14">
            <control shapeId="1030" r:id="rId8" name="Button 1003">
              <controlPr defaultSize="0" autoFill="0" autoPict="0" macro="Module3.ExportToXLSX" altText="Export">
                <anchor moveWithCells="1">
                  <from>
                    <xdr:col>18</xdr:col>
                    <xdr:colOff>66675</xdr:colOff>
                    <xdr:row>1</xdr:row>
                    <xdr:rowOff>19050</xdr:rowOff>
                  </from>
                  <to>
                    <xdr:col>19</xdr:col>
                    <xdr:colOff>180975</xdr:colOff>
                    <xdr:row>2</xdr:row>
                    <xdr:rowOff>476250</xdr:rowOff>
                  </to>
                </anchor>
              </controlPr>
            </control>
          </mc:Choice>
        </mc:AlternateContent>
        <mc:AlternateContent xmlns:mc="http://schemas.openxmlformats.org/markup-compatibility/2006">
          <mc:Choice Requires="x14">
            <control shapeId="1001" r:id="rId9" name="Button -23">
              <controlPr defaultSize="0" autoFill="0" autoPict="0" macro="Module2.ClearData" altText="Clear ">
                <anchor moveWithCells="1">
                  <from>
                    <xdr:col>18</xdr:col>
                    <xdr:colOff>76200</xdr:colOff>
                    <xdr:row>1</xdr:row>
                    <xdr:rowOff>523875</xdr:rowOff>
                  </from>
                  <to>
                    <xdr:col>19</xdr:col>
                    <xdr:colOff>190500</xdr:colOff>
                    <xdr:row>2</xdr:row>
                    <xdr:rowOff>28575</xdr:rowOff>
                  </to>
                </anchor>
              </controlPr>
            </control>
          </mc:Choice>
        </mc:AlternateContent>
        <mc:AlternateContent xmlns:mc="http://schemas.openxmlformats.org/markup-compatibility/2006">
          <mc:Choice Requires="x14">
            <control shapeId="1002" r:id="rId10" name="Button -22">
              <controlPr defaultSize="0" autoFill="0" autoPict="0" macro="Module1.SortAndRank" altText="Sort ">
                <anchor moveWithCells="1">
                  <from>
                    <xdr:col>18</xdr:col>
                    <xdr:colOff>66675</xdr:colOff>
                    <xdr:row>0</xdr:row>
                    <xdr:rowOff>180975</xdr:rowOff>
                  </from>
                  <to>
                    <xdr:col>19</xdr:col>
                    <xdr:colOff>180975</xdr:colOff>
                    <xdr:row>1</xdr:row>
                    <xdr:rowOff>-104775</xdr:rowOff>
                  </to>
                </anchor>
              </controlPr>
            </control>
          </mc:Choice>
        </mc:AlternateContent>
        <mc:AlternateContent xmlns:mc="http://schemas.openxmlformats.org/markup-compatibility/2006">
          <mc:Choice Requires="x14">
            <control shapeId="1003" r:id="rId11" name="Button -21">
              <controlPr defaultSize="0" autoFill="0" autoPict="0" macro="Module3.ExportToXLSX" altText="Export">
                <anchor moveWithCells="1">
                  <from>
                    <xdr:col>18</xdr:col>
                    <xdr:colOff>66675</xdr:colOff>
                    <xdr:row>1</xdr:row>
                    <xdr:rowOff>19050</xdr:rowOff>
                  </from>
                  <to>
                    <xdr:col>19</xdr:col>
                    <xdr:colOff>180975</xdr:colOff>
                    <xdr:row>2</xdr:row>
                    <xdr:rowOff>-476250</xdr:rowOff>
                  </to>
                </anchor>
              </controlPr>
            </control>
          </mc:Choice>
        </mc:AlternateContent>
        <mc:AlternateContent xmlns:mc="http://schemas.openxmlformats.org/markup-compatibility/2006">
          <mc:Choice Requires="x14">
            <control shapeId="1004" r:id="rId12" name="Button -20">
              <controlPr defaultSize="0" autoFill="0" autoPict="0" macro="Module1.SortAndRank" altText="Sort ">
                <anchor moveWithCells="1">
                  <from>
                    <xdr:col>18</xdr:col>
                    <xdr:colOff>66675</xdr:colOff>
                    <xdr:row>0</xdr:row>
                    <xdr:rowOff>180975</xdr:rowOff>
                  </from>
                  <to>
                    <xdr:col>19</xdr:col>
                    <xdr:colOff>180975</xdr:colOff>
                    <xdr:row>1</xdr:row>
                    <xdr:rowOff>-104775</xdr:rowOff>
                  </to>
                </anchor>
              </controlPr>
            </control>
          </mc:Choice>
        </mc:AlternateContent>
        <mc:AlternateContent xmlns:mc="http://schemas.openxmlformats.org/markup-compatibility/2006">
          <mc:Choice Requires="x14">
            <control shapeId="1005" r:id="rId13" name="Button -19">
              <controlPr defaultSize="0" autoFill="0" autoPict="0" macro="Module3.ExportToXLSX" altText="Export">
                <anchor moveWithCells="1">
                  <from>
                    <xdr:col>18</xdr:col>
                    <xdr:colOff>66675</xdr:colOff>
                    <xdr:row>1</xdr:row>
                    <xdr:rowOff>19050</xdr:rowOff>
                  </from>
                  <to>
                    <xdr:col>19</xdr:col>
                    <xdr:colOff>180975</xdr:colOff>
                    <xdr:row>2</xdr:row>
                    <xdr:rowOff>-476250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Y1001"/>
  <sheetViews>
    <sheetView view="pageBreakPreview" topLeftCell="L1" zoomScaleNormal="100" workbookViewId="0">
      <selection activeCell="W6" sqref="W6"/>
    </sheetView>
  </sheetViews>
  <sheetFormatPr defaultColWidth="9.140625" defaultRowHeight="15.75" x14ac:dyDescent="0.25"/>
  <cols>
    <col min="1" max="1" width="7.85546875" style="21" customWidth="1"/>
    <col min="2" max="2" width="50.7109375" style="21" customWidth="1"/>
    <col min="3" max="3" width="14.5703125" style="11" customWidth="1"/>
    <col min="4" max="17" width="15.7109375" style="1" customWidth="1"/>
    <col min="18" max="18" width="15.7109375" style="20" customWidth="1"/>
    <col min="19" max="19" width="9.140625" style="22"/>
    <col min="20" max="16384" width="9.140625" style="16"/>
  </cols>
  <sheetData>
    <row r="1" spans="1:19" ht="51" customHeight="1" x14ac:dyDescent="0.25">
      <c r="A1" s="49" t="s">
        <v>231</v>
      </c>
      <c r="B1" s="49"/>
      <c r="C1" s="49"/>
      <c r="D1" s="49"/>
      <c r="E1" s="49"/>
      <c r="F1" s="49"/>
      <c r="G1" s="49"/>
      <c r="H1" s="49"/>
      <c r="I1" s="49"/>
      <c r="J1" s="49"/>
      <c r="K1" s="49"/>
      <c r="L1" s="49"/>
      <c r="M1" s="49"/>
      <c r="N1" s="49"/>
      <c r="O1" s="49"/>
      <c r="P1" s="49"/>
      <c r="Q1" s="49"/>
      <c r="R1" s="49"/>
    </row>
    <row r="2" spans="1:19" s="4" customFormat="1" ht="67.5" customHeight="1" x14ac:dyDescent="0.25">
      <c r="A2" s="50" t="s">
        <v>232</v>
      </c>
      <c r="B2" s="50"/>
      <c r="C2" s="23" t="s">
        <v>2</v>
      </c>
      <c r="D2" s="23" t="s">
        <v>3</v>
      </c>
      <c r="E2" s="23" t="s">
        <v>4</v>
      </c>
      <c r="F2" s="23" t="s">
        <v>5</v>
      </c>
      <c r="G2" s="23" t="s">
        <v>6</v>
      </c>
      <c r="H2" s="23" t="s">
        <v>7</v>
      </c>
      <c r="I2" s="23" t="s">
        <v>8</v>
      </c>
      <c r="J2" s="23" t="s">
        <v>9</v>
      </c>
      <c r="K2" s="23" t="s">
        <v>10</v>
      </c>
      <c r="L2" s="23" t="s">
        <v>11</v>
      </c>
      <c r="M2" s="23" t="s">
        <v>12</v>
      </c>
      <c r="N2" s="23" t="s">
        <v>13</v>
      </c>
      <c r="O2" s="23" t="s">
        <v>14</v>
      </c>
      <c r="P2" s="23" t="s">
        <v>15</v>
      </c>
      <c r="Q2" s="5" t="s">
        <v>16</v>
      </c>
      <c r="R2" s="51" t="s">
        <v>17</v>
      </c>
      <c r="S2" s="24"/>
    </row>
    <row r="3" spans="1:19" ht="15.75" customHeight="1" x14ac:dyDescent="0.25">
      <c r="A3" s="50"/>
      <c r="B3" s="50"/>
      <c r="C3" s="6" t="s">
        <v>18</v>
      </c>
      <c r="D3" s="6" t="s">
        <v>19</v>
      </c>
      <c r="E3" s="6" t="s">
        <v>20</v>
      </c>
      <c r="F3" s="6" t="s">
        <v>21</v>
      </c>
      <c r="G3" s="6" t="s">
        <v>22</v>
      </c>
      <c r="H3" s="6" t="s">
        <v>23</v>
      </c>
      <c r="I3" s="6" t="s">
        <v>24</v>
      </c>
      <c r="J3" s="6" t="s">
        <v>25</v>
      </c>
      <c r="K3" s="6" t="s">
        <v>26</v>
      </c>
      <c r="L3" s="6" t="s">
        <v>27</v>
      </c>
      <c r="M3" s="6" t="s">
        <v>27</v>
      </c>
      <c r="N3" s="6" t="s">
        <v>28</v>
      </c>
      <c r="O3" s="6" t="s">
        <v>29</v>
      </c>
      <c r="P3" s="6" t="s">
        <v>29</v>
      </c>
      <c r="Q3" s="6" t="s">
        <v>30</v>
      </c>
      <c r="R3" s="51"/>
    </row>
    <row r="4" spans="1:19" ht="21.75" customHeight="1" x14ac:dyDescent="0.25">
      <c r="A4" s="1">
        <v>1</v>
      </c>
      <c r="B4" s="21" t="s">
        <v>233</v>
      </c>
      <c r="C4" s="1"/>
      <c r="D4" s="1">
        <v>180</v>
      </c>
      <c r="E4" s="1">
        <v>90</v>
      </c>
      <c r="F4" s="1">
        <v>114</v>
      </c>
      <c r="G4" s="1">
        <v>240</v>
      </c>
      <c r="H4" s="1">
        <v>765</v>
      </c>
      <c r="I4" s="1">
        <v>38</v>
      </c>
      <c r="J4" s="1">
        <v>600</v>
      </c>
      <c r="K4" s="1">
        <v>342</v>
      </c>
      <c r="L4" s="1">
        <v>420</v>
      </c>
      <c r="N4" s="1">
        <v>240</v>
      </c>
      <c r="O4" s="1">
        <v>600</v>
      </c>
      <c r="R4" s="15">
        <f t="shared" ref="R4:R67" si="0">SUM(C4:Q4)</f>
        <v>3629</v>
      </c>
    </row>
    <row r="5" spans="1:19" ht="21.75" customHeight="1" x14ac:dyDescent="0.25">
      <c r="A5" s="1" t="s">
        <v>34</v>
      </c>
      <c r="B5" s="21" t="s">
        <v>234</v>
      </c>
      <c r="C5" s="1"/>
      <c r="D5" s="1">
        <v>180</v>
      </c>
      <c r="E5" s="1">
        <v>90</v>
      </c>
      <c r="F5" s="1">
        <v>114</v>
      </c>
      <c r="G5" s="1">
        <v>240</v>
      </c>
      <c r="H5" s="1">
        <v>765</v>
      </c>
      <c r="I5" s="1">
        <v>38</v>
      </c>
      <c r="J5" s="1">
        <v>600</v>
      </c>
      <c r="K5" s="1">
        <v>342</v>
      </c>
      <c r="L5" s="1">
        <v>420</v>
      </c>
      <c r="N5" s="1">
        <v>240</v>
      </c>
      <c r="O5" s="1">
        <v>600</v>
      </c>
      <c r="R5" s="15">
        <f t="shared" si="0"/>
        <v>3629</v>
      </c>
    </row>
    <row r="6" spans="1:19" ht="21.75" customHeight="1" x14ac:dyDescent="0.25">
      <c r="A6" s="1">
        <v>3</v>
      </c>
      <c r="B6" s="21" t="s">
        <v>235</v>
      </c>
      <c r="C6" s="1"/>
      <c r="E6" s="1">
        <v>60</v>
      </c>
      <c r="F6" s="1">
        <v>114</v>
      </c>
      <c r="G6" s="1">
        <v>304</v>
      </c>
      <c r="J6" s="1">
        <v>600</v>
      </c>
      <c r="K6" s="1">
        <v>450</v>
      </c>
      <c r="L6" s="1">
        <v>532</v>
      </c>
      <c r="N6" s="1">
        <v>360</v>
      </c>
      <c r="O6" s="1">
        <v>1000</v>
      </c>
      <c r="R6" s="15">
        <f t="shared" si="0"/>
        <v>3420</v>
      </c>
    </row>
    <row r="7" spans="1:19" ht="21.75" customHeight="1" x14ac:dyDescent="0.25">
      <c r="A7" s="1">
        <v>4</v>
      </c>
      <c r="B7" s="21" t="s">
        <v>236</v>
      </c>
      <c r="C7" s="1"/>
      <c r="E7" s="1">
        <v>48</v>
      </c>
      <c r="F7" s="1">
        <v>36</v>
      </c>
      <c r="G7" s="1">
        <v>96</v>
      </c>
      <c r="H7" s="1">
        <v>510</v>
      </c>
      <c r="J7" s="1">
        <v>760</v>
      </c>
      <c r="K7" s="1">
        <v>405</v>
      </c>
      <c r="L7" s="1">
        <v>532</v>
      </c>
      <c r="N7" s="1">
        <v>304</v>
      </c>
      <c r="O7" s="1">
        <v>600</v>
      </c>
      <c r="R7" s="15">
        <f t="shared" si="0"/>
        <v>3291</v>
      </c>
    </row>
    <row r="8" spans="1:19" ht="21.75" customHeight="1" x14ac:dyDescent="0.25">
      <c r="A8" s="1">
        <v>5</v>
      </c>
      <c r="B8" s="21" t="s">
        <v>237</v>
      </c>
      <c r="C8" s="1"/>
      <c r="F8" s="1">
        <v>150</v>
      </c>
      <c r="G8" s="1">
        <v>240</v>
      </c>
      <c r="H8" s="1">
        <v>459</v>
      </c>
      <c r="I8" s="1">
        <v>50</v>
      </c>
      <c r="J8" s="1">
        <v>760</v>
      </c>
      <c r="K8" s="1">
        <v>216</v>
      </c>
      <c r="L8" s="1">
        <v>630</v>
      </c>
      <c r="N8" s="1">
        <v>240</v>
      </c>
      <c r="O8" s="1">
        <v>540</v>
      </c>
      <c r="R8" s="15">
        <f t="shared" si="0"/>
        <v>3285</v>
      </c>
    </row>
    <row r="9" spans="1:19" ht="21.75" customHeight="1" x14ac:dyDescent="0.25">
      <c r="A9" s="1">
        <v>6</v>
      </c>
      <c r="B9" s="21" t="s">
        <v>238</v>
      </c>
      <c r="C9" s="1"/>
      <c r="D9" s="1">
        <v>72</v>
      </c>
      <c r="F9" s="1">
        <v>90</v>
      </c>
      <c r="H9" s="1">
        <v>510</v>
      </c>
      <c r="J9" s="1">
        <v>760</v>
      </c>
      <c r="K9" s="1">
        <v>405</v>
      </c>
      <c r="L9" s="1">
        <v>532</v>
      </c>
      <c r="N9" s="1">
        <v>304</v>
      </c>
      <c r="O9" s="1">
        <v>600</v>
      </c>
      <c r="R9" s="15">
        <f t="shared" si="0"/>
        <v>3273</v>
      </c>
    </row>
    <row r="10" spans="1:19" ht="21.75" customHeight="1" x14ac:dyDescent="0.25">
      <c r="A10" s="1">
        <v>7</v>
      </c>
      <c r="B10" s="21" t="s">
        <v>239</v>
      </c>
      <c r="C10" s="1"/>
      <c r="G10" s="1">
        <v>400</v>
      </c>
      <c r="H10" s="1">
        <v>646</v>
      </c>
      <c r="J10" s="1">
        <v>600</v>
      </c>
      <c r="L10" s="1">
        <v>420</v>
      </c>
      <c r="N10" s="1">
        <v>304</v>
      </c>
      <c r="O10" s="1">
        <v>900</v>
      </c>
      <c r="R10" s="15">
        <f t="shared" si="0"/>
        <v>3270</v>
      </c>
    </row>
    <row r="11" spans="1:19" ht="21.75" customHeight="1" x14ac:dyDescent="0.25">
      <c r="A11" s="1">
        <v>8</v>
      </c>
      <c r="B11" s="21" t="s">
        <v>240</v>
      </c>
      <c r="C11" s="1"/>
      <c r="D11" s="1">
        <v>200</v>
      </c>
      <c r="F11" s="1">
        <v>90</v>
      </c>
      <c r="J11" s="1">
        <v>1000</v>
      </c>
      <c r="L11" s="1">
        <v>700</v>
      </c>
      <c r="N11" s="1">
        <v>400</v>
      </c>
      <c r="O11" s="1">
        <v>800</v>
      </c>
      <c r="R11" s="15">
        <f t="shared" si="0"/>
        <v>3190</v>
      </c>
    </row>
    <row r="12" spans="1:19" ht="21.75" customHeight="1" x14ac:dyDescent="0.25">
      <c r="A12" s="1" t="s">
        <v>34</v>
      </c>
      <c r="B12" s="21" t="s">
        <v>241</v>
      </c>
      <c r="C12" s="1"/>
      <c r="D12" s="1">
        <v>200</v>
      </c>
      <c r="F12" s="1">
        <v>90</v>
      </c>
      <c r="J12" s="1">
        <v>1000</v>
      </c>
      <c r="L12" s="1">
        <v>700</v>
      </c>
      <c r="N12" s="1">
        <v>400</v>
      </c>
      <c r="O12" s="1">
        <v>800</v>
      </c>
      <c r="R12" s="15">
        <f t="shared" si="0"/>
        <v>3190</v>
      </c>
    </row>
    <row r="13" spans="1:19" ht="21.75" customHeight="1" x14ac:dyDescent="0.25">
      <c r="A13" s="1">
        <v>10</v>
      </c>
      <c r="B13" s="21" t="s">
        <v>242</v>
      </c>
      <c r="C13" s="1"/>
      <c r="D13" s="1">
        <v>120</v>
      </c>
      <c r="F13" s="1">
        <v>150</v>
      </c>
      <c r="G13" s="1">
        <v>240</v>
      </c>
      <c r="H13" s="1">
        <v>459</v>
      </c>
      <c r="I13" s="1">
        <v>50</v>
      </c>
      <c r="J13" s="1">
        <v>760</v>
      </c>
      <c r="L13" s="1">
        <v>630</v>
      </c>
      <c r="N13" s="1">
        <v>240</v>
      </c>
      <c r="O13" s="1">
        <v>540</v>
      </c>
      <c r="R13" s="15">
        <f t="shared" si="0"/>
        <v>3189</v>
      </c>
    </row>
    <row r="14" spans="1:19" ht="21.75" customHeight="1" x14ac:dyDescent="0.25">
      <c r="A14" s="1">
        <v>11</v>
      </c>
      <c r="B14" s="21" t="s">
        <v>243</v>
      </c>
      <c r="C14" s="1"/>
      <c r="E14" s="1">
        <v>60</v>
      </c>
      <c r="F14" s="1">
        <v>114</v>
      </c>
      <c r="G14" s="1">
        <v>304</v>
      </c>
      <c r="J14" s="1">
        <v>600</v>
      </c>
      <c r="K14" s="1">
        <v>450</v>
      </c>
      <c r="L14" s="1">
        <v>532</v>
      </c>
      <c r="O14" s="1">
        <v>1000</v>
      </c>
      <c r="R14" s="15">
        <f t="shared" si="0"/>
        <v>3060</v>
      </c>
    </row>
    <row r="15" spans="1:19" ht="21.75" customHeight="1" x14ac:dyDescent="0.25">
      <c r="A15" s="1">
        <v>12</v>
      </c>
      <c r="B15" s="21" t="s">
        <v>244</v>
      </c>
      <c r="C15" s="1">
        <v>38</v>
      </c>
      <c r="D15" s="1">
        <v>96</v>
      </c>
      <c r="E15" s="1">
        <v>60</v>
      </c>
      <c r="F15" s="1">
        <v>72</v>
      </c>
      <c r="G15" s="1">
        <v>240</v>
      </c>
      <c r="H15" s="1">
        <v>510</v>
      </c>
      <c r="I15" s="1">
        <v>38</v>
      </c>
      <c r="J15" s="1">
        <v>480</v>
      </c>
      <c r="K15" s="1">
        <v>270</v>
      </c>
      <c r="L15" s="1">
        <v>420</v>
      </c>
      <c r="N15" s="1">
        <v>144</v>
      </c>
      <c r="O15" s="1">
        <v>540</v>
      </c>
      <c r="R15" s="15">
        <f t="shared" si="0"/>
        <v>2908</v>
      </c>
    </row>
    <row r="16" spans="1:19" ht="21.75" customHeight="1" x14ac:dyDescent="0.25">
      <c r="A16" s="1">
        <v>13</v>
      </c>
      <c r="B16" s="21" t="s">
        <v>245</v>
      </c>
      <c r="C16" s="1"/>
      <c r="H16" s="1">
        <v>646</v>
      </c>
      <c r="J16" s="1">
        <v>600</v>
      </c>
      <c r="L16" s="1">
        <v>420</v>
      </c>
      <c r="N16" s="1">
        <v>304</v>
      </c>
      <c r="O16" s="1">
        <v>900</v>
      </c>
      <c r="R16" s="15">
        <f t="shared" si="0"/>
        <v>2870</v>
      </c>
    </row>
    <row r="17" spans="1:18" ht="21.75" customHeight="1" x14ac:dyDescent="0.25">
      <c r="A17" s="1">
        <v>14</v>
      </c>
      <c r="B17" s="21" t="s">
        <v>246</v>
      </c>
      <c r="C17" s="1">
        <v>38</v>
      </c>
      <c r="E17" s="1">
        <v>60</v>
      </c>
      <c r="F17" s="1">
        <v>72</v>
      </c>
      <c r="G17" s="1">
        <v>240</v>
      </c>
      <c r="H17" s="1">
        <v>510</v>
      </c>
      <c r="I17" s="1">
        <v>38</v>
      </c>
      <c r="J17" s="1">
        <v>480</v>
      </c>
      <c r="K17" s="1">
        <v>270</v>
      </c>
      <c r="L17" s="1">
        <v>420</v>
      </c>
      <c r="N17" s="1">
        <v>144</v>
      </c>
      <c r="O17" s="1">
        <v>540</v>
      </c>
      <c r="R17" s="15">
        <f t="shared" si="0"/>
        <v>2812</v>
      </c>
    </row>
    <row r="18" spans="1:18" ht="21.75" customHeight="1" x14ac:dyDescent="0.25">
      <c r="A18" s="1">
        <v>15</v>
      </c>
      <c r="B18" s="21" t="s">
        <v>247</v>
      </c>
      <c r="C18" s="1"/>
      <c r="D18" s="1">
        <v>72</v>
      </c>
      <c r="E18" s="1">
        <v>100</v>
      </c>
      <c r="F18" s="1">
        <v>72</v>
      </c>
      <c r="G18" s="1">
        <v>360</v>
      </c>
      <c r="H18" s="1">
        <v>646</v>
      </c>
      <c r="J18" s="1">
        <v>480</v>
      </c>
      <c r="K18" s="1">
        <v>342</v>
      </c>
      <c r="L18" s="1">
        <v>420</v>
      </c>
      <c r="N18" s="1">
        <v>216</v>
      </c>
      <c r="R18" s="15">
        <f t="shared" si="0"/>
        <v>2708</v>
      </c>
    </row>
    <row r="19" spans="1:18" ht="21.75" customHeight="1" x14ac:dyDescent="0.25">
      <c r="A19" s="1">
        <v>16</v>
      </c>
      <c r="B19" s="21" t="s">
        <v>248</v>
      </c>
      <c r="C19" s="1"/>
      <c r="D19" s="1">
        <v>120</v>
      </c>
      <c r="E19" s="11">
        <v>48</v>
      </c>
      <c r="F19" s="1">
        <v>54</v>
      </c>
      <c r="G19" s="1">
        <v>192</v>
      </c>
      <c r="H19" s="1">
        <v>306</v>
      </c>
      <c r="I19" s="1">
        <v>30</v>
      </c>
      <c r="J19" s="1">
        <v>480</v>
      </c>
      <c r="K19" s="1">
        <v>270</v>
      </c>
      <c r="L19" s="1">
        <v>252</v>
      </c>
      <c r="N19" s="1">
        <v>216</v>
      </c>
      <c r="O19" s="1">
        <v>700</v>
      </c>
      <c r="R19" s="15">
        <f t="shared" si="0"/>
        <v>2668</v>
      </c>
    </row>
    <row r="20" spans="1:18" ht="21.75" customHeight="1" x14ac:dyDescent="0.25">
      <c r="A20" s="1">
        <v>17</v>
      </c>
      <c r="B20" s="9" t="s">
        <v>249</v>
      </c>
      <c r="C20" s="1"/>
      <c r="D20" s="1">
        <v>120</v>
      </c>
      <c r="E20" s="1">
        <v>48</v>
      </c>
      <c r="F20" s="1">
        <v>54</v>
      </c>
      <c r="G20" s="1">
        <v>192</v>
      </c>
      <c r="H20" s="1">
        <v>306</v>
      </c>
      <c r="I20" s="1">
        <v>30</v>
      </c>
      <c r="J20" s="1">
        <v>360</v>
      </c>
      <c r="K20" s="1">
        <v>270</v>
      </c>
      <c r="L20" s="1">
        <v>252</v>
      </c>
      <c r="N20" s="1">
        <v>216</v>
      </c>
      <c r="O20" s="1">
        <v>700</v>
      </c>
      <c r="R20" s="15">
        <f t="shared" si="0"/>
        <v>2548</v>
      </c>
    </row>
    <row r="21" spans="1:18" ht="21.75" customHeight="1" x14ac:dyDescent="0.25">
      <c r="A21" s="1">
        <v>18</v>
      </c>
      <c r="B21" s="21" t="s">
        <v>250</v>
      </c>
      <c r="C21" s="1"/>
      <c r="D21" s="1">
        <v>152</v>
      </c>
      <c r="E21" s="1">
        <v>76</v>
      </c>
      <c r="F21" s="1">
        <v>72</v>
      </c>
      <c r="G21" s="1">
        <v>240</v>
      </c>
      <c r="H21" s="1">
        <v>408</v>
      </c>
      <c r="I21" s="1">
        <v>30</v>
      </c>
      <c r="J21" s="1">
        <v>480</v>
      </c>
      <c r="L21" s="1">
        <v>252</v>
      </c>
      <c r="N21" s="1">
        <v>144</v>
      </c>
      <c r="O21" s="1">
        <v>480</v>
      </c>
      <c r="R21" s="15">
        <f t="shared" si="0"/>
        <v>2334</v>
      </c>
    </row>
    <row r="22" spans="1:18" ht="21.75" customHeight="1" x14ac:dyDescent="0.25">
      <c r="A22" s="1">
        <v>19</v>
      </c>
      <c r="B22" s="21" t="s">
        <v>251</v>
      </c>
      <c r="C22" s="1"/>
      <c r="D22" s="1">
        <v>152</v>
      </c>
      <c r="E22" s="1">
        <v>76</v>
      </c>
      <c r="F22" s="1">
        <v>72</v>
      </c>
      <c r="G22" s="1">
        <v>240</v>
      </c>
      <c r="H22" s="1">
        <v>408</v>
      </c>
      <c r="J22" s="1">
        <v>480</v>
      </c>
      <c r="L22" s="1">
        <v>252</v>
      </c>
      <c r="N22" s="1">
        <v>144</v>
      </c>
      <c r="O22" s="1">
        <v>480</v>
      </c>
      <c r="R22" s="15">
        <f t="shared" si="0"/>
        <v>2304</v>
      </c>
    </row>
    <row r="23" spans="1:18" ht="21.75" customHeight="1" x14ac:dyDescent="0.25">
      <c r="A23" s="1">
        <v>20</v>
      </c>
      <c r="B23" s="21" t="s">
        <v>252</v>
      </c>
      <c r="C23" s="1"/>
      <c r="D23" s="1">
        <v>72</v>
      </c>
      <c r="E23" s="1">
        <v>76</v>
      </c>
      <c r="F23" s="1">
        <v>135</v>
      </c>
      <c r="G23" s="1">
        <v>144</v>
      </c>
      <c r="H23" s="1">
        <v>306</v>
      </c>
      <c r="I23" s="1">
        <v>24</v>
      </c>
      <c r="J23" s="1">
        <v>240</v>
      </c>
      <c r="K23" s="1">
        <v>270</v>
      </c>
      <c r="L23" s="1">
        <v>336</v>
      </c>
      <c r="N23" s="1">
        <v>192</v>
      </c>
      <c r="O23" s="1">
        <v>480</v>
      </c>
      <c r="R23" s="15">
        <f t="shared" si="0"/>
        <v>2275</v>
      </c>
    </row>
    <row r="24" spans="1:18" ht="21.75" customHeight="1" x14ac:dyDescent="0.25">
      <c r="A24" s="1">
        <v>21</v>
      </c>
      <c r="B24" s="21" t="s">
        <v>253</v>
      </c>
      <c r="C24" s="1"/>
      <c r="D24" s="1">
        <v>120</v>
      </c>
      <c r="E24" s="1">
        <v>36</v>
      </c>
      <c r="F24" s="1">
        <v>36</v>
      </c>
      <c r="H24" s="1">
        <v>306</v>
      </c>
      <c r="I24" s="1">
        <v>45</v>
      </c>
      <c r="J24" s="1">
        <v>360</v>
      </c>
      <c r="K24" s="1">
        <v>270</v>
      </c>
      <c r="L24" s="1">
        <v>336</v>
      </c>
      <c r="N24" s="1">
        <v>192</v>
      </c>
      <c r="O24" s="1">
        <v>480</v>
      </c>
      <c r="R24" s="15">
        <f t="shared" si="0"/>
        <v>2181</v>
      </c>
    </row>
    <row r="25" spans="1:18" ht="21.75" customHeight="1" x14ac:dyDescent="0.25">
      <c r="A25" s="1">
        <v>22</v>
      </c>
      <c r="B25" s="21" t="s">
        <v>254</v>
      </c>
      <c r="C25" s="1"/>
      <c r="E25" s="1">
        <v>100</v>
      </c>
      <c r="F25" s="1">
        <v>72</v>
      </c>
      <c r="G25" s="1">
        <v>360</v>
      </c>
      <c r="H25" s="1">
        <v>646</v>
      </c>
      <c r="K25" s="1">
        <v>342</v>
      </c>
      <c r="L25" s="1">
        <v>420</v>
      </c>
      <c r="N25" s="1">
        <v>216</v>
      </c>
      <c r="R25" s="15">
        <f t="shared" si="0"/>
        <v>2156</v>
      </c>
    </row>
    <row r="26" spans="1:18" ht="21.75" customHeight="1" x14ac:dyDescent="0.25">
      <c r="A26" s="1">
        <v>23</v>
      </c>
      <c r="B26" s="21" t="s">
        <v>255</v>
      </c>
      <c r="C26" s="1"/>
      <c r="D26" s="1">
        <v>72</v>
      </c>
      <c r="F26" s="1">
        <v>72</v>
      </c>
      <c r="G26" s="1">
        <v>192</v>
      </c>
      <c r="H26" s="1">
        <v>408</v>
      </c>
      <c r="I26" s="1">
        <v>24</v>
      </c>
      <c r="J26" s="1">
        <v>360</v>
      </c>
      <c r="K26" s="1">
        <v>162</v>
      </c>
      <c r="L26" s="1">
        <v>252</v>
      </c>
      <c r="N26" s="1">
        <v>144</v>
      </c>
      <c r="O26" s="1">
        <v>360</v>
      </c>
      <c r="R26" s="15">
        <f t="shared" si="0"/>
        <v>2046</v>
      </c>
    </row>
    <row r="27" spans="1:18" ht="21.75" customHeight="1" x14ac:dyDescent="0.25">
      <c r="A27" s="1">
        <v>24</v>
      </c>
      <c r="B27" s="21" t="s">
        <v>256</v>
      </c>
      <c r="C27" s="1"/>
      <c r="D27" s="1">
        <v>96</v>
      </c>
      <c r="E27" s="1">
        <v>60</v>
      </c>
      <c r="F27" s="1">
        <v>54</v>
      </c>
      <c r="G27" s="1">
        <v>96</v>
      </c>
      <c r="H27" s="1">
        <v>459</v>
      </c>
      <c r="I27" s="1">
        <v>24</v>
      </c>
      <c r="J27" s="1">
        <v>360</v>
      </c>
      <c r="K27" s="1">
        <v>216</v>
      </c>
      <c r="L27" s="1">
        <v>168</v>
      </c>
      <c r="N27" s="1">
        <v>144</v>
      </c>
      <c r="O27" s="1">
        <v>360</v>
      </c>
      <c r="R27" s="15">
        <f t="shared" si="0"/>
        <v>2037</v>
      </c>
    </row>
    <row r="28" spans="1:18" ht="21.75" customHeight="1" x14ac:dyDescent="0.25">
      <c r="A28" s="1">
        <v>25</v>
      </c>
      <c r="B28" s="21" t="s">
        <v>257</v>
      </c>
      <c r="C28" s="1"/>
      <c r="E28" s="1">
        <v>24</v>
      </c>
      <c r="F28" s="1">
        <v>36</v>
      </c>
      <c r="G28" s="1">
        <v>96</v>
      </c>
      <c r="H28" s="1">
        <v>408</v>
      </c>
      <c r="I28" s="1">
        <v>24</v>
      </c>
      <c r="J28" s="1">
        <v>360</v>
      </c>
      <c r="K28" s="1">
        <v>162</v>
      </c>
      <c r="L28" s="1">
        <v>336</v>
      </c>
      <c r="N28" s="1">
        <v>192</v>
      </c>
      <c r="O28" s="1">
        <v>360</v>
      </c>
      <c r="R28" s="15">
        <f t="shared" si="0"/>
        <v>1998</v>
      </c>
    </row>
    <row r="29" spans="1:18" ht="21.75" customHeight="1" x14ac:dyDescent="0.25">
      <c r="A29" s="1">
        <v>26</v>
      </c>
      <c r="B29" s="21" t="s">
        <v>258</v>
      </c>
      <c r="C29" s="1"/>
      <c r="D29" s="1">
        <v>48</v>
      </c>
      <c r="E29" s="1">
        <v>12</v>
      </c>
      <c r="G29" s="1">
        <v>192</v>
      </c>
      <c r="H29" s="1">
        <v>459</v>
      </c>
      <c r="I29" s="1">
        <v>24</v>
      </c>
      <c r="J29" s="1">
        <v>360</v>
      </c>
      <c r="K29" s="1">
        <v>216</v>
      </c>
      <c r="L29" s="1">
        <v>168</v>
      </c>
      <c r="N29" s="1">
        <v>144</v>
      </c>
      <c r="O29" s="1">
        <v>360</v>
      </c>
      <c r="R29" s="15">
        <f t="shared" si="0"/>
        <v>1983</v>
      </c>
    </row>
    <row r="30" spans="1:18" ht="21.75" customHeight="1" x14ac:dyDescent="0.25">
      <c r="A30" s="1">
        <v>27</v>
      </c>
      <c r="B30" s="21" t="s">
        <v>259</v>
      </c>
      <c r="C30" s="1"/>
      <c r="F30" s="1">
        <v>72</v>
      </c>
      <c r="G30" s="1">
        <v>192</v>
      </c>
      <c r="H30" s="1">
        <v>408</v>
      </c>
      <c r="I30" s="1">
        <v>24</v>
      </c>
      <c r="J30" s="1">
        <v>360</v>
      </c>
      <c r="K30" s="1">
        <v>162</v>
      </c>
      <c r="L30" s="1">
        <v>252</v>
      </c>
      <c r="N30" s="1">
        <v>144</v>
      </c>
      <c r="O30" s="1">
        <v>360</v>
      </c>
      <c r="R30" s="15">
        <f t="shared" si="0"/>
        <v>1974</v>
      </c>
    </row>
    <row r="31" spans="1:18" ht="21.75" customHeight="1" x14ac:dyDescent="0.25">
      <c r="A31" s="1">
        <v>28</v>
      </c>
      <c r="B31" s="21" t="s">
        <v>260</v>
      </c>
      <c r="C31" s="1"/>
      <c r="D31" s="1">
        <v>96</v>
      </c>
      <c r="H31" s="1">
        <v>408</v>
      </c>
      <c r="I31" s="1">
        <v>24</v>
      </c>
      <c r="J31" s="1">
        <v>360</v>
      </c>
      <c r="K31" s="1">
        <v>162</v>
      </c>
      <c r="L31" s="1">
        <v>336</v>
      </c>
      <c r="N31" s="1">
        <v>192</v>
      </c>
      <c r="O31" s="1">
        <v>360</v>
      </c>
      <c r="R31" s="15">
        <f t="shared" si="0"/>
        <v>1938</v>
      </c>
    </row>
    <row r="32" spans="1:18" ht="21.75" customHeight="1" x14ac:dyDescent="0.25">
      <c r="A32" s="1">
        <v>29</v>
      </c>
      <c r="B32" s="21" t="s">
        <v>261</v>
      </c>
      <c r="C32" s="1">
        <v>38</v>
      </c>
      <c r="D32" s="1">
        <v>96</v>
      </c>
      <c r="E32" s="1">
        <v>48</v>
      </c>
      <c r="G32" s="1">
        <v>96</v>
      </c>
      <c r="H32" s="1">
        <v>204</v>
      </c>
      <c r="I32" s="1">
        <v>18</v>
      </c>
      <c r="J32" s="1">
        <v>480</v>
      </c>
      <c r="K32" s="1">
        <v>216</v>
      </c>
      <c r="L32" s="1">
        <v>168</v>
      </c>
      <c r="N32" s="1">
        <v>144</v>
      </c>
      <c r="O32" s="1">
        <v>360</v>
      </c>
      <c r="R32" s="15">
        <f t="shared" si="0"/>
        <v>1868</v>
      </c>
    </row>
    <row r="33" spans="1:18" ht="21.75" customHeight="1" x14ac:dyDescent="0.25">
      <c r="A33" s="1">
        <v>30</v>
      </c>
      <c r="B33" s="21" t="s">
        <v>262</v>
      </c>
      <c r="C33" s="1">
        <v>38</v>
      </c>
      <c r="D33" s="1">
        <v>96</v>
      </c>
      <c r="F33" s="1">
        <v>36</v>
      </c>
      <c r="G33" s="1">
        <v>96</v>
      </c>
      <c r="H33" s="1">
        <v>204</v>
      </c>
      <c r="I33" s="1">
        <v>18</v>
      </c>
      <c r="J33" s="1">
        <v>480</v>
      </c>
      <c r="K33" s="1">
        <v>216</v>
      </c>
      <c r="L33" s="1">
        <v>168</v>
      </c>
      <c r="N33" s="1">
        <v>144</v>
      </c>
      <c r="O33" s="1">
        <v>360</v>
      </c>
      <c r="R33" s="15">
        <f t="shared" si="0"/>
        <v>1856</v>
      </c>
    </row>
    <row r="34" spans="1:18" ht="21.75" customHeight="1" x14ac:dyDescent="0.25">
      <c r="A34" s="1">
        <v>31</v>
      </c>
      <c r="B34" s="21" t="s">
        <v>263</v>
      </c>
      <c r="C34" s="1"/>
      <c r="D34" s="1">
        <v>48</v>
      </c>
      <c r="E34" s="1">
        <v>60</v>
      </c>
      <c r="F34" s="1">
        <v>18</v>
      </c>
      <c r="G34" s="1">
        <v>144</v>
      </c>
      <c r="H34" s="1">
        <v>306</v>
      </c>
      <c r="I34" s="1">
        <v>30</v>
      </c>
      <c r="J34" s="1">
        <v>240</v>
      </c>
      <c r="K34" s="1">
        <v>162</v>
      </c>
      <c r="L34" s="1">
        <v>336</v>
      </c>
      <c r="N34" s="1">
        <v>144</v>
      </c>
      <c r="P34" s="1">
        <v>150</v>
      </c>
      <c r="Q34" s="1">
        <v>50</v>
      </c>
      <c r="R34" s="15">
        <f t="shared" si="0"/>
        <v>1688</v>
      </c>
    </row>
    <row r="35" spans="1:18" ht="21.75" customHeight="1" x14ac:dyDescent="0.25">
      <c r="A35" s="1" t="s">
        <v>34</v>
      </c>
      <c r="B35" s="21" t="s">
        <v>264</v>
      </c>
      <c r="C35" s="1"/>
      <c r="D35" s="1">
        <v>48</v>
      </c>
      <c r="E35" s="1">
        <v>60</v>
      </c>
      <c r="F35" s="1">
        <v>18</v>
      </c>
      <c r="G35" s="1">
        <v>144</v>
      </c>
      <c r="H35" s="1">
        <v>306</v>
      </c>
      <c r="I35" s="1">
        <v>30</v>
      </c>
      <c r="J35" s="1">
        <v>240</v>
      </c>
      <c r="K35" s="1">
        <v>162</v>
      </c>
      <c r="L35" s="1">
        <v>336</v>
      </c>
      <c r="N35" s="1">
        <v>144</v>
      </c>
      <c r="P35" s="1">
        <v>150</v>
      </c>
      <c r="Q35" s="1">
        <v>50</v>
      </c>
      <c r="R35" s="15">
        <f t="shared" si="0"/>
        <v>1688</v>
      </c>
    </row>
    <row r="36" spans="1:18" ht="21.75" customHeight="1" x14ac:dyDescent="0.25">
      <c r="A36" s="1">
        <v>33</v>
      </c>
      <c r="B36" s="21" t="s">
        <v>265</v>
      </c>
      <c r="C36" s="1"/>
      <c r="D36" s="1">
        <v>120</v>
      </c>
      <c r="F36" s="1">
        <v>90</v>
      </c>
      <c r="G36" s="1">
        <v>304</v>
      </c>
      <c r="H36" s="1">
        <v>306</v>
      </c>
      <c r="J36" s="1">
        <v>240</v>
      </c>
      <c r="K36" s="1">
        <v>108</v>
      </c>
      <c r="L36" s="1">
        <v>168</v>
      </c>
      <c r="N36" s="1">
        <v>192</v>
      </c>
      <c r="R36" s="15">
        <f t="shared" si="0"/>
        <v>1528</v>
      </c>
    </row>
    <row r="37" spans="1:18" ht="21.75" customHeight="1" x14ac:dyDescent="0.25">
      <c r="A37" s="1">
        <v>34</v>
      </c>
      <c r="B37" s="21" t="s">
        <v>266</v>
      </c>
      <c r="C37" s="1">
        <v>30</v>
      </c>
      <c r="D37" s="1">
        <v>72</v>
      </c>
      <c r="E37" s="1">
        <v>48</v>
      </c>
      <c r="F37" s="1">
        <v>36</v>
      </c>
      <c r="G37" s="11">
        <v>192</v>
      </c>
      <c r="H37" s="1">
        <v>306</v>
      </c>
      <c r="I37" s="1">
        <v>30</v>
      </c>
      <c r="J37" s="1">
        <v>240</v>
      </c>
      <c r="K37" s="1">
        <v>216</v>
      </c>
      <c r="N37" s="1">
        <v>144</v>
      </c>
      <c r="R37" s="15">
        <f t="shared" si="0"/>
        <v>1314</v>
      </c>
    </row>
    <row r="38" spans="1:18" ht="21.75" customHeight="1" x14ac:dyDescent="0.25">
      <c r="A38" s="1">
        <v>35</v>
      </c>
      <c r="B38" s="21" t="s">
        <v>267</v>
      </c>
      <c r="C38" s="1"/>
      <c r="D38" s="1">
        <v>152</v>
      </c>
      <c r="F38" s="11"/>
      <c r="G38" s="1">
        <v>144</v>
      </c>
      <c r="H38" s="1">
        <v>306</v>
      </c>
      <c r="J38" s="1">
        <v>240</v>
      </c>
      <c r="K38" s="1">
        <v>108</v>
      </c>
      <c r="L38" s="1">
        <v>168</v>
      </c>
      <c r="N38" s="1">
        <v>192</v>
      </c>
      <c r="R38" s="15">
        <f t="shared" si="0"/>
        <v>1310</v>
      </c>
    </row>
    <row r="39" spans="1:18" ht="21.75" customHeight="1" x14ac:dyDescent="0.25">
      <c r="A39" s="1">
        <v>36</v>
      </c>
      <c r="B39" s="21" t="s">
        <v>268</v>
      </c>
      <c r="C39" s="1"/>
      <c r="F39" s="1">
        <v>36</v>
      </c>
      <c r="I39" s="1">
        <v>30</v>
      </c>
      <c r="J39" s="1">
        <v>600</v>
      </c>
      <c r="K39" s="1">
        <v>108</v>
      </c>
      <c r="L39" s="1">
        <v>336</v>
      </c>
      <c r="N39" s="1">
        <v>192</v>
      </c>
      <c r="R39" s="15">
        <f t="shared" si="0"/>
        <v>1302</v>
      </c>
    </row>
    <row r="40" spans="1:18" ht="21.75" customHeight="1" x14ac:dyDescent="0.25">
      <c r="A40" s="1">
        <v>37</v>
      </c>
      <c r="B40" s="21" t="s">
        <v>269</v>
      </c>
      <c r="C40" s="1"/>
      <c r="G40" s="1">
        <v>400</v>
      </c>
      <c r="H40" s="11"/>
      <c r="I40" s="11"/>
      <c r="J40" s="11">
        <v>900</v>
      </c>
      <c r="K40" s="11"/>
      <c r="L40" s="11"/>
      <c r="M40" s="11"/>
      <c r="N40" s="11"/>
      <c r="O40" s="11"/>
      <c r="P40" s="11"/>
      <c r="R40" s="15">
        <f t="shared" si="0"/>
        <v>1300</v>
      </c>
    </row>
    <row r="41" spans="1:18" ht="21.75" customHeight="1" x14ac:dyDescent="0.25">
      <c r="A41" s="1">
        <v>38</v>
      </c>
      <c r="B41" s="21" t="s">
        <v>270</v>
      </c>
      <c r="C41" s="1">
        <v>27</v>
      </c>
      <c r="D41" s="1">
        <v>48</v>
      </c>
      <c r="E41" s="1">
        <v>48</v>
      </c>
      <c r="F41" s="1">
        <v>36</v>
      </c>
      <c r="G41" s="1">
        <v>96</v>
      </c>
      <c r="H41" s="1">
        <v>306</v>
      </c>
      <c r="I41" s="1">
        <v>12</v>
      </c>
      <c r="J41" s="1">
        <v>240</v>
      </c>
      <c r="K41" s="1">
        <v>162</v>
      </c>
      <c r="L41" s="1">
        <v>168</v>
      </c>
      <c r="N41" s="1">
        <v>144</v>
      </c>
      <c r="R41" s="15">
        <f t="shared" si="0"/>
        <v>1287</v>
      </c>
    </row>
    <row r="42" spans="1:18" ht="21.75" customHeight="1" x14ac:dyDescent="0.25">
      <c r="A42" s="1">
        <v>39</v>
      </c>
      <c r="B42" s="21" t="s">
        <v>271</v>
      </c>
      <c r="C42" s="1"/>
      <c r="D42" s="1">
        <v>96</v>
      </c>
      <c r="F42" s="1">
        <v>90</v>
      </c>
      <c r="H42" s="1">
        <v>306</v>
      </c>
      <c r="I42" s="1">
        <v>12</v>
      </c>
      <c r="J42" s="1">
        <v>240</v>
      </c>
      <c r="K42" s="1">
        <v>216</v>
      </c>
      <c r="L42" s="1">
        <v>168</v>
      </c>
      <c r="N42" s="1">
        <v>144</v>
      </c>
      <c r="R42" s="15">
        <f t="shared" si="0"/>
        <v>1272</v>
      </c>
    </row>
    <row r="43" spans="1:18" ht="21.75" customHeight="1" x14ac:dyDescent="0.25">
      <c r="A43" s="1">
        <v>40</v>
      </c>
      <c r="B43" s="21" t="s">
        <v>272</v>
      </c>
      <c r="C43" s="1"/>
      <c r="E43" s="1">
        <v>36</v>
      </c>
      <c r="F43" s="1">
        <v>36</v>
      </c>
      <c r="G43" s="1">
        <v>96</v>
      </c>
      <c r="H43" s="1">
        <v>306</v>
      </c>
      <c r="I43" s="1">
        <v>12</v>
      </c>
      <c r="J43" s="1">
        <v>240</v>
      </c>
      <c r="K43" s="1">
        <v>216</v>
      </c>
      <c r="L43" s="1">
        <v>168</v>
      </c>
      <c r="N43" s="1">
        <v>144</v>
      </c>
      <c r="R43" s="15">
        <f t="shared" si="0"/>
        <v>1254</v>
      </c>
    </row>
    <row r="44" spans="1:18" ht="21.75" customHeight="1" x14ac:dyDescent="0.25">
      <c r="A44" s="1">
        <v>41</v>
      </c>
      <c r="B44" s="21" t="s">
        <v>273</v>
      </c>
      <c r="C44" s="1"/>
      <c r="D44" s="1">
        <v>152</v>
      </c>
      <c r="F44" s="1">
        <v>90</v>
      </c>
      <c r="H44" s="1">
        <v>408</v>
      </c>
      <c r="J44" s="1">
        <v>240</v>
      </c>
      <c r="L44" s="1">
        <v>336</v>
      </c>
      <c r="R44" s="15">
        <f t="shared" si="0"/>
        <v>1226</v>
      </c>
    </row>
    <row r="45" spans="1:18" ht="21.75" customHeight="1" x14ac:dyDescent="0.25">
      <c r="A45" s="1">
        <v>42</v>
      </c>
      <c r="B45" s="21" t="s">
        <v>274</v>
      </c>
      <c r="C45" s="1"/>
      <c r="F45" s="1">
        <v>90</v>
      </c>
      <c r="H45" s="1">
        <v>408</v>
      </c>
      <c r="I45" s="1">
        <v>45</v>
      </c>
      <c r="J45" s="1">
        <v>240</v>
      </c>
      <c r="N45" s="1">
        <v>360</v>
      </c>
      <c r="R45" s="15">
        <f t="shared" si="0"/>
        <v>1143</v>
      </c>
    </row>
    <row r="46" spans="1:18" ht="21.75" customHeight="1" x14ac:dyDescent="0.25">
      <c r="A46" s="1">
        <v>43</v>
      </c>
      <c r="B46" s="21" t="s">
        <v>275</v>
      </c>
      <c r="C46" s="1"/>
      <c r="E46" s="1">
        <v>24</v>
      </c>
      <c r="F46" s="1">
        <v>36</v>
      </c>
      <c r="G46" s="1">
        <v>48</v>
      </c>
      <c r="H46" s="1">
        <v>306</v>
      </c>
      <c r="I46" s="1">
        <v>12</v>
      </c>
      <c r="J46" s="1">
        <v>240</v>
      </c>
      <c r="K46" s="1">
        <v>162</v>
      </c>
      <c r="L46" s="1">
        <v>168</v>
      </c>
      <c r="R46" s="15">
        <f t="shared" si="0"/>
        <v>996</v>
      </c>
    </row>
    <row r="47" spans="1:18" ht="21.75" customHeight="1" x14ac:dyDescent="0.25">
      <c r="A47" s="1">
        <v>44</v>
      </c>
      <c r="B47" s="21" t="s">
        <v>276</v>
      </c>
      <c r="C47" s="1"/>
      <c r="H47" s="1">
        <v>850</v>
      </c>
      <c r="P47" s="1">
        <v>81</v>
      </c>
      <c r="R47" s="15">
        <f t="shared" si="0"/>
        <v>931</v>
      </c>
    </row>
    <row r="48" spans="1:18" ht="21.75" customHeight="1" x14ac:dyDescent="0.25">
      <c r="A48" s="1">
        <v>45</v>
      </c>
      <c r="B48" s="25" t="s">
        <v>277</v>
      </c>
      <c r="C48" s="1"/>
      <c r="I48" s="1">
        <v>30</v>
      </c>
      <c r="J48" s="1">
        <v>600</v>
      </c>
      <c r="K48" s="1">
        <v>108</v>
      </c>
      <c r="N48" s="1">
        <v>192</v>
      </c>
      <c r="R48" s="15">
        <f t="shared" si="0"/>
        <v>930</v>
      </c>
    </row>
    <row r="49" spans="1:18" ht="21.75" customHeight="1" x14ac:dyDescent="0.25">
      <c r="A49" s="1">
        <v>46</v>
      </c>
      <c r="B49" s="21" t="s">
        <v>278</v>
      </c>
      <c r="C49" s="1"/>
      <c r="J49" s="1">
        <v>900</v>
      </c>
      <c r="R49" s="15">
        <f t="shared" si="0"/>
        <v>900</v>
      </c>
    </row>
    <row r="50" spans="1:18" ht="21.75" customHeight="1" x14ac:dyDescent="0.25">
      <c r="A50" s="1">
        <v>47</v>
      </c>
      <c r="B50" s="21" t="s">
        <v>279</v>
      </c>
      <c r="C50" s="1"/>
      <c r="H50" s="1">
        <v>850</v>
      </c>
      <c r="R50" s="15">
        <f t="shared" si="0"/>
        <v>850</v>
      </c>
    </row>
    <row r="51" spans="1:18" ht="21.75" customHeight="1" x14ac:dyDescent="0.25">
      <c r="A51" s="1">
        <v>48</v>
      </c>
      <c r="B51" s="21" t="s">
        <v>280</v>
      </c>
      <c r="C51" s="1"/>
      <c r="D51" s="1">
        <v>72</v>
      </c>
      <c r="E51" s="1">
        <v>76</v>
      </c>
      <c r="F51" s="1">
        <v>135</v>
      </c>
      <c r="G51" s="1">
        <v>144</v>
      </c>
      <c r="H51" s="1">
        <v>306</v>
      </c>
      <c r="I51" s="1">
        <v>24</v>
      </c>
      <c r="R51" s="15">
        <f t="shared" si="0"/>
        <v>757</v>
      </c>
    </row>
    <row r="52" spans="1:18" ht="21.75" customHeight="1" x14ac:dyDescent="0.25">
      <c r="A52" s="1">
        <v>49</v>
      </c>
      <c r="B52" s="21" t="s">
        <v>281</v>
      </c>
      <c r="C52" s="1"/>
      <c r="H52" s="1">
        <v>306</v>
      </c>
      <c r="J52" s="1">
        <v>240</v>
      </c>
      <c r="P52" s="1">
        <v>90</v>
      </c>
      <c r="R52" s="15">
        <f t="shared" si="0"/>
        <v>636</v>
      </c>
    </row>
    <row r="53" spans="1:18" ht="21.75" customHeight="1" x14ac:dyDescent="0.25">
      <c r="A53" s="1">
        <v>50</v>
      </c>
      <c r="B53" s="21" t="s">
        <v>282</v>
      </c>
      <c r="C53" s="1">
        <v>50</v>
      </c>
      <c r="D53" s="1">
        <v>120</v>
      </c>
      <c r="G53" s="1">
        <v>144</v>
      </c>
      <c r="H53" s="1">
        <v>306</v>
      </c>
      <c r="R53" s="15">
        <f t="shared" si="0"/>
        <v>620</v>
      </c>
    </row>
    <row r="54" spans="1:18" ht="21.75" customHeight="1" x14ac:dyDescent="0.25">
      <c r="A54" s="1">
        <v>51</v>
      </c>
      <c r="B54" s="21" t="s">
        <v>283</v>
      </c>
      <c r="C54" s="1">
        <v>45</v>
      </c>
      <c r="F54" s="1">
        <v>18</v>
      </c>
      <c r="G54" s="1">
        <v>96</v>
      </c>
      <c r="H54" s="1">
        <v>204</v>
      </c>
      <c r="L54" s="1">
        <v>252</v>
      </c>
      <c r="R54" s="15">
        <f t="shared" si="0"/>
        <v>615</v>
      </c>
    </row>
    <row r="55" spans="1:18" ht="21.75" customHeight="1" x14ac:dyDescent="0.25">
      <c r="A55" s="1">
        <v>52</v>
      </c>
      <c r="B55" s="21" t="s">
        <v>284</v>
      </c>
      <c r="C55" s="1"/>
      <c r="G55" s="1">
        <v>96</v>
      </c>
      <c r="H55" s="1">
        <v>204</v>
      </c>
      <c r="K55" s="1">
        <v>108</v>
      </c>
      <c r="M55" s="1">
        <v>81</v>
      </c>
      <c r="P55" s="1">
        <v>90</v>
      </c>
      <c r="R55" s="15">
        <f t="shared" si="0"/>
        <v>579</v>
      </c>
    </row>
    <row r="56" spans="1:18" ht="21.75" customHeight="1" x14ac:dyDescent="0.25">
      <c r="A56" s="1" t="s">
        <v>34</v>
      </c>
      <c r="B56" s="21" t="s">
        <v>285</v>
      </c>
      <c r="C56" s="1"/>
      <c r="G56" s="1">
        <v>96</v>
      </c>
      <c r="H56" s="1">
        <v>204</v>
      </c>
      <c r="K56" s="1">
        <v>108</v>
      </c>
      <c r="M56" s="1">
        <v>81</v>
      </c>
      <c r="P56" s="1">
        <v>90</v>
      </c>
      <c r="R56" s="15">
        <f t="shared" si="0"/>
        <v>579</v>
      </c>
    </row>
    <row r="57" spans="1:18" ht="21.75" customHeight="1" x14ac:dyDescent="0.25">
      <c r="A57" s="1" t="s">
        <v>34</v>
      </c>
      <c r="B57" s="21" t="s">
        <v>286</v>
      </c>
      <c r="C57" s="1">
        <v>27</v>
      </c>
      <c r="D57" s="1">
        <v>48</v>
      </c>
      <c r="E57" s="1">
        <v>48</v>
      </c>
      <c r="F57" s="1">
        <v>36</v>
      </c>
      <c r="I57" s="1">
        <v>12</v>
      </c>
      <c r="J57" s="1">
        <v>240</v>
      </c>
      <c r="L57" s="1">
        <v>168</v>
      </c>
      <c r="R57" s="15">
        <f t="shared" si="0"/>
        <v>579</v>
      </c>
    </row>
    <row r="58" spans="1:18" ht="21.75" customHeight="1" x14ac:dyDescent="0.25">
      <c r="A58" s="1">
        <v>55</v>
      </c>
      <c r="B58" s="21" t="s">
        <v>287</v>
      </c>
      <c r="C58" s="1"/>
      <c r="E58" s="1">
        <v>24</v>
      </c>
      <c r="F58" s="1">
        <v>36</v>
      </c>
      <c r="G58" s="1">
        <v>48</v>
      </c>
      <c r="I58" s="1">
        <v>12</v>
      </c>
      <c r="J58" s="1">
        <v>240</v>
      </c>
      <c r="L58" s="1">
        <v>168</v>
      </c>
      <c r="R58" s="15">
        <f t="shared" si="0"/>
        <v>528</v>
      </c>
    </row>
    <row r="59" spans="1:18" ht="21.75" customHeight="1" x14ac:dyDescent="0.25">
      <c r="A59" s="1">
        <v>56</v>
      </c>
      <c r="B59" s="21" t="s">
        <v>288</v>
      </c>
      <c r="C59" s="1"/>
      <c r="D59" s="1">
        <v>120</v>
      </c>
      <c r="F59" s="1">
        <v>90</v>
      </c>
      <c r="G59" s="1">
        <v>304</v>
      </c>
      <c r="R59" s="15">
        <f t="shared" si="0"/>
        <v>514</v>
      </c>
    </row>
    <row r="60" spans="1:18" ht="21.75" customHeight="1" x14ac:dyDescent="0.25">
      <c r="A60" s="1">
        <v>57</v>
      </c>
      <c r="B60" s="21" t="s">
        <v>289</v>
      </c>
      <c r="C60" s="1"/>
      <c r="H60" s="1">
        <v>204</v>
      </c>
      <c r="K60" s="1">
        <v>108</v>
      </c>
      <c r="M60" s="1">
        <v>90</v>
      </c>
      <c r="P60" s="1">
        <v>81</v>
      </c>
      <c r="R60" s="15">
        <f t="shared" si="0"/>
        <v>483</v>
      </c>
    </row>
    <row r="61" spans="1:18" ht="21.75" customHeight="1" x14ac:dyDescent="0.25">
      <c r="A61" s="1">
        <v>58</v>
      </c>
      <c r="B61" s="21" t="s">
        <v>290</v>
      </c>
      <c r="C61" s="1"/>
      <c r="D61" s="1">
        <v>72</v>
      </c>
      <c r="F61" s="1">
        <v>18</v>
      </c>
      <c r="J61" s="1">
        <v>240</v>
      </c>
      <c r="L61" s="1">
        <v>84</v>
      </c>
      <c r="R61" s="15">
        <f t="shared" si="0"/>
        <v>414</v>
      </c>
    </row>
    <row r="62" spans="1:18" ht="21.75" customHeight="1" x14ac:dyDescent="0.25">
      <c r="A62" s="1">
        <v>59</v>
      </c>
      <c r="B62" s="21" t="s">
        <v>291</v>
      </c>
      <c r="C62" s="1">
        <v>45</v>
      </c>
      <c r="F62" s="1">
        <v>18</v>
      </c>
      <c r="G62" s="1">
        <v>96</v>
      </c>
      <c r="H62" s="1">
        <v>204</v>
      </c>
      <c r="R62" s="15">
        <f t="shared" si="0"/>
        <v>363</v>
      </c>
    </row>
    <row r="63" spans="1:18" ht="21.75" customHeight="1" x14ac:dyDescent="0.25">
      <c r="A63" s="1">
        <v>60</v>
      </c>
      <c r="B63" s="21" t="s">
        <v>292</v>
      </c>
      <c r="C63" s="1">
        <v>50</v>
      </c>
      <c r="D63" s="1">
        <v>120</v>
      </c>
      <c r="G63" s="1">
        <v>192</v>
      </c>
      <c r="R63" s="15">
        <f t="shared" si="0"/>
        <v>362</v>
      </c>
    </row>
    <row r="64" spans="1:18" ht="21.75" customHeight="1" x14ac:dyDescent="0.25">
      <c r="A64" s="1">
        <v>61</v>
      </c>
      <c r="B64" s="9" t="s">
        <v>293</v>
      </c>
      <c r="C64" s="1"/>
      <c r="E64" s="1">
        <v>12</v>
      </c>
      <c r="I64" s="1">
        <v>12</v>
      </c>
      <c r="M64" s="1">
        <v>150</v>
      </c>
      <c r="P64" s="1">
        <v>114</v>
      </c>
      <c r="Q64" s="1">
        <v>40</v>
      </c>
      <c r="R64" s="15">
        <f t="shared" si="0"/>
        <v>328</v>
      </c>
    </row>
    <row r="65" spans="1:18" ht="21.75" customHeight="1" x14ac:dyDescent="0.25">
      <c r="A65" s="1">
        <v>62</v>
      </c>
      <c r="B65" s="9" t="s">
        <v>294</v>
      </c>
      <c r="C65" s="1"/>
      <c r="I65" s="1">
        <v>12</v>
      </c>
      <c r="M65" s="1">
        <v>150</v>
      </c>
      <c r="P65" s="1">
        <v>114</v>
      </c>
      <c r="Q65" s="11">
        <v>40</v>
      </c>
      <c r="R65" s="15">
        <f t="shared" si="0"/>
        <v>316</v>
      </c>
    </row>
    <row r="66" spans="1:18" ht="21.75" customHeight="1" x14ac:dyDescent="0.25">
      <c r="A66" s="1">
        <v>63</v>
      </c>
      <c r="B66" s="21" t="s">
        <v>295</v>
      </c>
      <c r="C66" s="1"/>
      <c r="M66" s="1">
        <v>135</v>
      </c>
      <c r="P66" s="1">
        <v>135</v>
      </c>
      <c r="Q66" s="1">
        <v>45</v>
      </c>
      <c r="R66" s="15">
        <f t="shared" si="0"/>
        <v>315</v>
      </c>
    </row>
    <row r="67" spans="1:18" ht="21.75" customHeight="1" x14ac:dyDescent="0.25">
      <c r="A67" s="1" t="s">
        <v>34</v>
      </c>
      <c r="B67" s="21" t="s">
        <v>296</v>
      </c>
      <c r="C67" s="1"/>
      <c r="M67" s="1">
        <v>135</v>
      </c>
      <c r="P67" s="1">
        <v>135</v>
      </c>
      <c r="Q67" s="1">
        <v>45</v>
      </c>
      <c r="R67" s="15">
        <f t="shared" si="0"/>
        <v>315</v>
      </c>
    </row>
    <row r="68" spans="1:18" ht="21.75" customHeight="1" x14ac:dyDescent="0.25">
      <c r="A68" s="1">
        <v>65</v>
      </c>
      <c r="B68" s="21" t="s">
        <v>297</v>
      </c>
      <c r="C68" s="1"/>
      <c r="D68" s="1">
        <v>48</v>
      </c>
      <c r="E68" s="1">
        <v>24</v>
      </c>
      <c r="F68" s="1">
        <v>54</v>
      </c>
      <c r="I68" s="1">
        <v>18</v>
      </c>
      <c r="L68" s="1">
        <v>168</v>
      </c>
      <c r="R68" s="15">
        <f t="shared" ref="R68:R131" si="1">SUM(C68:Q68)</f>
        <v>312</v>
      </c>
    </row>
    <row r="69" spans="1:18" ht="21.75" customHeight="1" x14ac:dyDescent="0.25">
      <c r="A69" s="1" t="s">
        <v>34</v>
      </c>
      <c r="B69" s="21" t="s">
        <v>298</v>
      </c>
      <c r="C69" s="1"/>
      <c r="D69" s="1">
        <v>48</v>
      </c>
      <c r="E69" s="1">
        <v>24</v>
      </c>
      <c r="F69" s="1">
        <v>54</v>
      </c>
      <c r="I69" s="1">
        <v>18</v>
      </c>
      <c r="L69" s="1">
        <v>168</v>
      </c>
      <c r="R69" s="15">
        <f t="shared" si="1"/>
        <v>312</v>
      </c>
    </row>
    <row r="70" spans="1:18" ht="21.75" customHeight="1" x14ac:dyDescent="0.25">
      <c r="A70" s="1">
        <v>67</v>
      </c>
      <c r="B70" s="21" t="s">
        <v>299</v>
      </c>
      <c r="C70" s="1"/>
      <c r="F70" s="1">
        <v>18</v>
      </c>
      <c r="I70" s="1">
        <v>6</v>
      </c>
      <c r="K70" s="1">
        <v>108</v>
      </c>
      <c r="L70" s="1">
        <v>168</v>
      </c>
      <c r="R70" s="15">
        <f t="shared" si="1"/>
        <v>300</v>
      </c>
    </row>
    <row r="71" spans="1:18" ht="21.75" customHeight="1" x14ac:dyDescent="0.25">
      <c r="A71" s="1">
        <v>68</v>
      </c>
      <c r="B71" s="21" t="s">
        <v>300</v>
      </c>
      <c r="C71" s="1"/>
      <c r="K71" s="1">
        <v>108</v>
      </c>
      <c r="M71" s="1">
        <v>114</v>
      </c>
      <c r="P71" s="1">
        <v>72</v>
      </c>
      <c r="R71" s="15">
        <f t="shared" si="1"/>
        <v>294</v>
      </c>
    </row>
    <row r="72" spans="1:18" ht="21.75" customHeight="1" x14ac:dyDescent="0.25">
      <c r="A72" s="1" t="s">
        <v>34</v>
      </c>
      <c r="B72" s="21" t="s">
        <v>301</v>
      </c>
      <c r="C72" s="1"/>
      <c r="K72" s="1">
        <v>108</v>
      </c>
      <c r="M72" s="1">
        <v>114</v>
      </c>
      <c r="P72" s="1">
        <v>72</v>
      </c>
      <c r="R72" s="15">
        <f t="shared" si="1"/>
        <v>294</v>
      </c>
    </row>
    <row r="73" spans="1:18" ht="21.75" customHeight="1" x14ac:dyDescent="0.25">
      <c r="A73" s="1" t="s">
        <v>34</v>
      </c>
      <c r="B73" s="21" t="s">
        <v>302</v>
      </c>
      <c r="C73" s="1"/>
      <c r="H73" s="1">
        <v>204</v>
      </c>
      <c r="M73" s="1">
        <v>90</v>
      </c>
      <c r="R73" s="15">
        <f t="shared" si="1"/>
        <v>294</v>
      </c>
    </row>
    <row r="74" spans="1:18" ht="21.75" customHeight="1" x14ac:dyDescent="0.25">
      <c r="A74" s="1">
        <v>71</v>
      </c>
      <c r="B74" s="21" t="s">
        <v>303</v>
      </c>
      <c r="C74" s="1"/>
      <c r="F74" s="1">
        <v>18</v>
      </c>
      <c r="K74" s="1">
        <v>270</v>
      </c>
      <c r="R74" s="15">
        <f t="shared" si="1"/>
        <v>288</v>
      </c>
    </row>
    <row r="75" spans="1:18" ht="21.75" customHeight="1" x14ac:dyDescent="0.25">
      <c r="A75" s="1">
        <v>72</v>
      </c>
      <c r="B75" s="21" t="s">
        <v>304</v>
      </c>
      <c r="C75" s="1"/>
      <c r="D75" s="1">
        <v>24</v>
      </c>
      <c r="E75" s="1">
        <v>12</v>
      </c>
      <c r="G75" s="1">
        <v>48</v>
      </c>
      <c r="I75" s="1">
        <v>6</v>
      </c>
      <c r="K75" s="1">
        <v>108</v>
      </c>
      <c r="M75" s="1">
        <v>81</v>
      </c>
      <c r="R75" s="15">
        <f t="shared" si="1"/>
        <v>279</v>
      </c>
    </row>
    <row r="76" spans="1:18" ht="21.75" customHeight="1" x14ac:dyDescent="0.25">
      <c r="A76" s="1">
        <v>73</v>
      </c>
      <c r="B76" s="21" t="s">
        <v>305</v>
      </c>
      <c r="C76" s="1"/>
      <c r="D76" s="1">
        <v>48</v>
      </c>
      <c r="F76" s="1">
        <v>36</v>
      </c>
      <c r="I76" s="1">
        <v>6</v>
      </c>
      <c r="M76" s="1">
        <v>72</v>
      </c>
      <c r="P76" s="1">
        <v>114</v>
      </c>
      <c r="R76" s="15">
        <f t="shared" si="1"/>
        <v>276</v>
      </c>
    </row>
    <row r="77" spans="1:18" ht="21.75" customHeight="1" x14ac:dyDescent="0.25">
      <c r="A77" s="1">
        <v>74</v>
      </c>
      <c r="B77" s="21" t="s">
        <v>306</v>
      </c>
      <c r="C77" s="1"/>
      <c r="K77" s="1">
        <v>270</v>
      </c>
      <c r="R77" s="15">
        <f t="shared" si="1"/>
        <v>270</v>
      </c>
    </row>
    <row r="78" spans="1:18" ht="21.75" customHeight="1" x14ac:dyDescent="0.25">
      <c r="A78" s="1">
        <v>75</v>
      </c>
      <c r="B78" s="9" t="s">
        <v>307</v>
      </c>
      <c r="C78" s="1"/>
      <c r="D78" s="1">
        <v>24</v>
      </c>
      <c r="E78" s="1">
        <v>36</v>
      </c>
      <c r="I78" s="1">
        <v>12</v>
      </c>
      <c r="K78" s="1">
        <v>108</v>
      </c>
      <c r="L78" s="1">
        <v>84</v>
      </c>
      <c r="R78" s="15">
        <f t="shared" si="1"/>
        <v>264</v>
      </c>
    </row>
    <row r="79" spans="1:18" ht="21.75" customHeight="1" x14ac:dyDescent="0.25">
      <c r="A79" s="1">
        <v>76</v>
      </c>
      <c r="B79" s="21" t="s">
        <v>308</v>
      </c>
      <c r="C79" s="1"/>
      <c r="L79" s="1">
        <v>252</v>
      </c>
      <c r="R79" s="15">
        <f t="shared" si="1"/>
        <v>252</v>
      </c>
    </row>
    <row r="80" spans="1:18" ht="21.75" customHeight="1" x14ac:dyDescent="0.25">
      <c r="A80" s="1">
        <v>77</v>
      </c>
      <c r="B80" s="21" t="s">
        <v>309</v>
      </c>
      <c r="C80" s="1"/>
      <c r="K80" s="1">
        <v>108</v>
      </c>
      <c r="M80" s="1">
        <v>90</v>
      </c>
      <c r="Q80" s="1">
        <v>35</v>
      </c>
      <c r="R80" s="15">
        <f t="shared" si="1"/>
        <v>233</v>
      </c>
    </row>
    <row r="81" spans="1:18" ht="21.75" customHeight="1" x14ac:dyDescent="0.25">
      <c r="A81" s="1" t="s">
        <v>34</v>
      </c>
      <c r="B81" s="21" t="s">
        <v>310</v>
      </c>
      <c r="C81" s="1"/>
      <c r="K81" s="1">
        <v>108</v>
      </c>
      <c r="M81" s="1">
        <v>90</v>
      </c>
      <c r="Q81" s="1">
        <v>35</v>
      </c>
      <c r="R81" s="15">
        <f t="shared" si="1"/>
        <v>233</v>
      </c>
    </row>
    <row r="82" spans="1:18" ht="21.75" customHeight="1" x14ac:dyDescent="0.25">
      <c r="A82" s="1">
        <v>79</v>
      </c>
      <c r="B82" s="21" t="s">
        <v>311</v>
      </c>
      <c r="C82" s="1"/>
      <c r="I82" s="1">
        <v>12</v>
      </c>
      <c r="M82" s="1">
        <v>114</v>
      </c>
      <c r="P82" s="1">
        <v>72</v>
      </c>
      <c r="Q82" s="1">
        <v>30</v>
      </c>
      <c r="R82" s="15">
        <f t="shared" si="1"/>
        <v>228</v>
      </c>
    </row>
    <row r="83" spans="1:18" ht="21.75" customHeight="1" x14ac:dyDescent="0.25">
      <c r="A83" s="1" t="s">
        <v>34</v>
      </c>
      <c r="B83" s="21" t="s">
        <v>312</v>
      </c>
      <c r="C83" s="1"/>
      <c r="E83" s="1">
        <v>36</v>
      </c>
      <c r="F83" s="1">
        <v>18</v>
      </c>
      <c r="I83" s="1">
        <v>6</v>
      </c>
      <c r="L83" s="1">
        <v>168</v>
      </c>
      <c r="R83" s="15">
        <f t="shared" si="1"/>
        <v>228</v>
      </c>
    </row>
    <row r="84" spans="1:18" ht="21.75" customHeight="1" x14ac:dyDescent="0.25">
      <c r="A84" s="1">
        <v>81</v>
      </c>
      <c r="B84" s="9" t="s">
        <v>313</v>
      </c>
      <c r="C84" s="1"/>
      <c r="E84" s="1">
        <v>60</v>
      </c>
      <c r="F84" s="1">
        <v>54</v>
      </c>
      <c r="G84" s="1">
        <v>96</v>
      </c>
      <c r="R84" s="15">
        <f t="shared" si="1"/>
        <v>210</v>
      </c>
    </row>
    <row r="85" spans="1:18" ht="21.75" customHeight="1" x14ac:dyDescent="0.25">
      <c r="A85" s="1">
        <v>82</v>
      </c>
      <c r="B85" s="21" t="s">
        <v>314</v>
      </c>
      <c r="C85" s="1"/>
      <c r="D85" s="1">
        <v>48</v>
      </c>
      <c r="F85" s="1">
        <v>18</v>
      </c>
      <c r="G85" s="1">
        <v>48</v>
      </c>
      <c r="I85" s="1">
        <v>6</v>
      </c>
      <c r="L85" s="1">
        <v>84</v>
      </c>
      <c r="R85" s="15">
        <f t="shared" si="1"/>
        <v>204</v>
      </c>
    </row>
    <row r="86" spans="1:18" ht="21.75" customHeight="1" x14ac:dyDescent="0.25">
      <c r="A86" s="1">
        <v>83</v>
      </c>
      <c r="B86" s="21" t="s">
        <v>315</v>
      </c>
      <c r="C86" s="1"/>
      <c r="D86" s="1">
        <v>48</v>
      </c>
      <c r="F86" s="1">
        <v>36</v>
      </c>
      <c r="I86" s="1">
        <v>12</v>
      </c>
      <c r="P86" s="1">
        <v>72</v>
      </c>
      <c r="Q86" s="1">
        <v>30</v>
      </c>
      <c r="R86" s="15">
        <f t="shared" si="1"/>
        <v>198</v>
      </c>
    </row>
    <row r="87" spans="1:18" ht="21.75" customHeight="1" x14ac:dyDescent="0.25">
      <c r="A87" s="1">
        <v>84</v>
      </c>
      <c r="B87" s="21" t="s">
        <v>316</v>
      </c>
      <c r="C87" s="1"/>
      <c r="I87" s="1">
        <v>6</v>
      </c>
      <c r="M87" s="1">
        <v>72</v>
      </c>
      <c r="P87" s="1">
        <v>114</v>
      </c>
      <c r="R87" s="15">
        <f t="shared" si="1"/>
        <v>192</v>
      </c>
    </row>
    <row r="88" spans="1:18" ht="21.75" customHeight="1" x14ac:dyDescent="0.25">
      <c r="A88" s="1" t="s">
        <v>34</v>
      </c>
      <c r="B88" s="21" t="s">
        <v>317</v>
      </c>
      <c r="C88" s="1"/>
      <c r="G88" s="1">
        <v>192</v>
      </c>
      <c r="R88" s="15">
        <f t="shared" si="1"/>
        <v>192</v>
      </c>
    </row>
    <row r="89" spans="1:18" ht="21.75" customHeight="1" x14ac:dyDescent="0.25">
      <c r="A89" s="1">
        <v>86</v>
      </c>
      <c r="B89" s="21" t="s">
        <v>318</v>
      </c>
      <c r="C89" s="1"/>
      <c r="K89" s="1">
        <v>108</v>
      </c>
      <c r="P89" s="1">
        <v>72</v>
      </c>
      <c r="R89" s="15">
        <f t="shared" si="1"/>
        <v>180</v>
      </c>
    </row>
    <row r="90" spans="1:18" ht="21.75" customHeight="1" x14ac:dyDescent="0.25">
      <c r="A90" s="1">
        <v>87</v>
      </c>
      <c r="B90" s="21" t="s">
        <v>319</v>
      </c>
      <c r="C90" s="1">
        <v>30</v>
      </c>
      <c r="G90" s="1">
        <v>144</v>
      </c>
      <c r="R90" s="15">
        <f t="shared" si="1"/>
        <v>174</v>
      </c>
    </row>
    <row r="91" spans="1:18" ht="21.75" customHeight="1" x14ac:dyDescent="0.25">
      <c r="A91" s="1" t="s">
        <v>34</v>
      </c>
      <c r="B91" s="21" t="s">
        <v>320</v>
      </c>
      <c r="C91" s="1">
        <v>30</v>
      </c>
      <c r="D91" s="11"/>
      <c r="G91" s="1">
        <v>144</v>
      </c>
      <c r="R91" s="15">
        <f t="shared" si="1"/>
        <v>174</v>
      </c>
    </row>
    <row r="92" spans="1:18" ht="21.75" customHeight="1" x14ac:dyDescent="0.25">
      <c r="A92" s="1">
        <v>89</v>
      </c>
      <c r="B92" s="21" t="s">
        <v>321</v>
      </c>
      <c r="C92" s="1"/>
      <c r="D92" s="1">
        <v>24</v>
      </c>
      <c r="E92" s="1">
        <v>12</v>
      </c>
      <c r="G92" s="1">
        <v>48</v>
      </c>
      <c r="I92" s="1">
        <v>6</v>
      </c>
      <c r="M92" s="1">
        <v>81</v>
      </c>
      <c r="R92" s="15">
        <f t="shared" si="1"/>
        <v>171</v>
      </c>
    </row>
    <row r="93" spans="1:18" ht="21.75" customHeight="1" x14ac:dyDescent="0.25">
      <c r="A93" s="1">
        <v>90</v>
      </c>
      <c r="B93" s="21" t="s">
        <v>322</v>
      </c>
      <c r="C93" s="1"/>
      <c r="D93" s="1">
        <v>48</v>
      </c>
      <c r="E93" s="1">
        <v>12</v>
      </c>
      <c r="G93" s="1">
        <v>96</v>
      </c>
      <c r="R93" s="15">
        <f t="shared" si="1"/>
        <v>156</v>
      </c>
    </row>
    <row r="94" spans="1:18" ht="21.75" customHeight="1" x14ac:dyDescent="0.25">
      <c r="A94" s="1" t="s">
        <v>34</v>
      </c>
      <c r="B94" s="21" t="s">
        <v>323</v>
      </c>
      <c r="C94" s="1"/>
      <c r="E94" s="1">
        <v>24</v>
      </c>
      <c r="F94" s="1">
        <v>36</v>
      </c>
      <c r="G94" s="1">
        <v>96</v>
      </c>
      <c r="R94" s="15">
        <f t="shared" si="1"/>
        <v>156</v>
      </c>
    </row>
    <row r="95" spans="1:18" ht="21.75" customHeight="1" x14ac:dyDescent="0.25">
      <c r="A95" s="1">
        <v>92</v>
      </c>
      <c r="B95" s="21" t="s">
        <v>324</v>
      </c>
      <c r="C95" s="1">
        <v>30</v>
      </c>
      <c r="D95" s="1">
        <v>48</v>
      </c>
      <c r="F95" s="1">
        <v>18</v>
      </c>
      <c r="G95" s="1">
        <v>48</v>
      </c>
      <c r="I95" s="1">
        <v>6</v>
      </c>
      <c r="R95" s="15">
        <f t="shared" si="1"/>
        <v>150</v>
      </c>
    </row>
    <row r="96" spans="1:18" ht="21.75" customHeight="1" x14ac:dyDescent="0.25">
      <c r="A96" s="1">
        <v>93</v>
      </c>
      <c r="B96" s="21" t="s">
        <v>325</v>
      </c>
      <c r="C96" s="1"/>
      <c r="M96" s="1">
        <v>72</v>
      </c>
      <c r="P96" s="1">
        <v>72</v>
      </c>
      <c r="R96" s="15">
        <f t="shared" si="1"/>
        <v>144</v>
      </c>
    </row>
    <row r="97" spans="1:18" ht="21.75" customHeight="1" x14ac:dyDescent="0.25">
      <c r="A97" s="1">
        <v>94</v>
      </c>
      <c r="B97" s="21" t="s">
        <v>326</v>
      </c>
      <c r="C97" s="1"/>
      <c r="E97" s="1">
        <v>24</v>
      </c>
      <c r="G97" s="1">
        <v>96</v>
      </c>
      <c r="I97" s="1">
        <v>18</v>
      </c>
      <c r="R97" s="15">
        <f t="shared" si="1"/>
        <v>138</v>
      </c>
    </row>
    <row r="98" spans="1:18" ht="21.75" customHeight="1" x14ac:dyDescent="0.25">
      <c r="A98" s="1" t="s">
        <v>34</v>
      </c>
      <c r="B98" s="21" t="s">
        <v>327</v>
      </c>
      <c r="C98" s="1"/>
      <c r="E98" s="1">
        <v>24</v>
      </c>
      <c r="G98" s="1">
        <v>96</v>
      </c>
      <c r="I98" s="1">
        <v>18</v>
      </c>
      <c r="R98" s="15">
        <f t="shared" si="1"/>
        <v>138</v>
      </c>
    </row>
    <row r="99" spans="1:18" ht="21.75" customHeight="1" x14ac:dyDescent="0.25">
      <c r="A99" s="1" t="s">
        <v>34</v>
      </c>
      <c r="B99" s="21" t="s">
        <v>328</v>
      </c>
      <c r="C99" s="1"/>
      <c r="D99" s="1">
        <v>48</v>
      </c>
      <c r="I99" s="1">
        <v>6</v>
      </c>
      <c r="L99" s="1">
        <v>84</v>
      </c>
      <c r="R99" s="15">
        <f t="shared" si="1"/>
        <v>138</v>
      </c>
    </row>
    <row r="100" spans="1:18" ht="21.75" customHeight="1" x14ac:dyDescent="0.25">
      <c r="A100" s="1">
        <v>97</v>
      </c>
      <c r="B100" s="21" t="s">
        <v>329</v>
      </c>
      <c r="C100" s="1"/>
      <c r="D100" s="1">
        <v>96</v>
      </c>
      <c r="F100" s="1">
        <v>36</v>
      </c>
      <c r="R100" s="15">
        <f t="shared" si="1"/>
        <v>132</v>
      </c>
    </row>
    <row r="101" spans="1:18" ht="21.75" customHeight="1" x14ac:dyDescent="0.25">
      <c r="A101" s="1" t="s">
        <v>34</v>
      </c>
      <c r="B101" s="21" t="s">
        <v>330</v>
      </c>
      <c r="C101" s="1"/>
      <c r="D101" s="1">
        <v>96</v>
      </c>
      <c r="F101" s="1">
        <v>36</v>
      </c>
      <c r="R101" s="15">
        <f t="shared" si="1"/>
        <v>132</v>
      </c>
    </row>
    <row r="102" spans="1:18" ht="21.75" customHeight="1" x14ac:dyDescent="0.25">
      <c r="A102" s="1" t="s">
        <v>34</v>
      </c>
      <c r="B102" s="21" t="s">
        <v>331</v>
      </c>
      <c r="C102" s="1"/>
      <c r="D102" s="1">
        <v>24</v>
      </c>
      <c r="E102" s="1">
        <v>36</v>
      </c>
      <c r="F102" s="1">
        <v>54</v>
      </c>
      <c r="I102" s="1">
        <v>18</v>
      </c>
      <c r="R102" s="15">
        <f t="shared" si="1"/>
        <v>132</v>
      </c>
    </row>
    <row r="103" spans="1:18" ht="21.75" customHeight="1" x14ac:dyDescent="0.25">
      <c r="A103" s="1" t="s">
        <v>34</v>
      </c>
      <c r="B103" s="21" t="s">
        <v>332</v>
      </c>
      <c r="C103" s="1"/>
      <c r="D103" s="1">
        <v>24</v>
      </c>
      <c r="E103" s="1">
        <v>36</v>
      </c>
      <c r="F103" s="1">
        <v>54</v>
      </c>
      <c r="I103" s="1">
        <v>18</v>
      </c>
      <c r="R103" s="15">
        <f t="shared" si="1"/>
        <v>132</v>
      </c>
    </row>
    <row r="104" spans="1:18" ht="21.75" customHeight="1" x14ac:dyDescent="0.25">
      <c r="A104" s="1">
        <v>101</v>
      </c>
      <c r="B104" s="21" t="s">
        <v>333</v>
      </c>
      <c r="C104" s="1"/>
      <c r="M104" s="1">
        <v>114</v>
      </c>
      <c r="R104" s="15">
        <f t="shared" si="1"/>
        <v>114</v>
      </c>
    </row>
    <row r="105" spans="1:18" ht="21.75" customHeight="1" x14ac:dyDescent="0.25">
      <c r="A105" s="1">
        <v>102</v>
      </c>
      <c r="B105" s="21" t="s">
        <v>334</v>
      </c>
      <c r="C105" s="1"/>
      <c r="K105" s="1">
        <v>108</v>
      </c>
      <c r="R105" s="15">
        <f t="shared" si="1"/>
        <v>108</v>
      </c>
    </row>
    <row r="106" spans="1:18" ht="21.75" customHeight="1" x14ac:dyDescent="0.25">
      <c r="A106" s="1">
        <v>103</v>
      </c>
      <c r="B106" s="21" t="s">
        <v>335</v>
      </c>
      <c r="C106" s="1"/>
      <c r="P106" s="1">
        <v>72</v>
      </c>
      <c r="Q106" s="1">
        <v>30</v>
      </c>
      <c r="R106" s="15">
        <f t="shared" si="1"/>
        <v>102</v>
      </c>
    </row>
    <row r="107" spans="1:18" ht="21.75" customHeight="1" x14ac:dyDescent="0.25">
      <c r="A107" s="1" t="s">
        <v>34</v>
      </c>
      <c r="B107" s="21" t="s">
        <v>336</v>
      </c>
      <c r="C107" s="1"/>
      <c r="P107" s="1">
        <v>72</v>
      </c>
      <c r="Q107" s="1">
        <v>30</v>
      </c>
      <c r="R107" s="15">
        <f t="shared" si="1"/>
        <v>102</v>
      </c>
    </row>
    <row r="108" spans="1:18" ht="21.75" customHeight="1" x14ac:dyDescent="0.25">
      <c r="A108" s="1">
        <v>105</v>
      </c>
      <c r="B108" s="21" t="s">
        <v>337</v>
      </c>
      <c r="C108" s="1">
        <v>27</v>
      </c>
      <c r="D108" s="1">
        <v>24</v>
      </c>
      <c r="G108" s="1">
        <v>48</v>
      </c>
      <c r="R108" s="15">
        <f t="shared" si="1"/>
        <v>99</v>
      </c>
    </row>
    <row r="109" spans="1:18" ht="21.75" customHeight="1" x14ac:dyDescent="0.25">
      <c r="A109" s="1">
        <v>106</v>
      </c>
      <c r="B109" s="21" t="s">
        <v>338</v>
      </c>
      <c r="C109" s="1"/>
      <c r="N109" s="1">
        <v>96</v>
      </c>
      <c r="R109" s="15">
        <f t="shared" si="1"/>
        <v>96</v>
      </c>
    </row>
    <row r="110" spans="1:18" ht="21.75" customHeight="1" x14ac:dyDescent="0.25">
      <c r="A110" s="1" t="s">
        <v>34</v>
      </c>
      <c r="B110" s="21" t="s">
        <v>339</v>
      </c>
      <c r="C110" s="1"/>
      <c r="N110" s="1">
        <v>96</v>
      </c>
      <c r="R110" s="15">
        <f t="shared" si="1"/>
        <v>96</v>
      </c>
    </row>
    <row r="111" spans="1:18" ht="21.75" customHeight="1" x14ac:dyDescent="0.25">
      <c r="A111" s="1">
        <v>108</v>
      </c>
      <c r="B111" s="9" t="s">
        <v>340</v>
      </c>
      <c r="C111" s="1"/>
      <c r="P111" s="1">
        <v>90</v>
      </c>
      <c r="R111" s="15">
        <f t="shared" si="1"/>
        <v>90</v>
      </c>
    </row>
    <row r="112" spans="1:18" ht="21.75" customHeight="1" x14ac:dyDescent="0.25">
      <c r="A112" s="1">
        <v>109</v>
      </c>
      <c r="B112" s="21" t="s">
        <v>341</v>
      </c>
      <c r="C112" s="1"/>
      <c r="D112" s="1">
        <v>48</v>
      </c>
      <c r="E112" s="1">
        <v>24</v>
      </c>
      <c r="I112" s="1">
        <v>12</v>
      </c>
      <c r="R112" s="15">
        <f t="shared" si="1"/>
        <v>84</v>
      </c>
    </row>
    <row r="113" spans="1:18" ht="21.75" customHeight="1" x14ac:dyDescent="0.25">
      <c r="A113" s="1" t="s">
        <v>34</v>
      </c>
      <c r="B113" s="21" t="s">
        <v>342</v>
      </c>
      <c r="C113" s="1"/>
      <c r="L113" s="1">
        <v>84</v>
      </c>
      <c r="R113" s="15">
        <f t="shared" si="1"/>
        <v>84</v>
      </c>
    </row>
    <row r="114" spans="1:18" ht="21.75" customHeight="1" x14ac:dyDescent="0.25">
      <c r="A114" s="1" t="s">
        <v>34</v>
      </c>
      <c r="B114" s="21" t="s">
        <v>343</v>
      </c>
      <c r="C114" s="1"/>
      <c r="L114" s="1">
        <v>84</v>
      </c>
      <c r="R114" s="15">
        <f t="shared" si="1"/>
        <v>84</v>
      </c>
    </row>
    <row r="115" spans="1:18" ht="21.75" customHeight="1" x14ac:dyDescent="0.25">
      <c r="A115" s="1">
        <v>112</v>
      </c>
      <c r="B115" s="21" t="s">
        <v>344</v>
      </c>
      <c r="C115" s="1"/>
      <c r="P115" s="1">
        <v>81</v>
      </c>
      <c r="R115" s="15">
        <f t="shared" si="1"/>
        <v>81</v>
      </c>
    </row>
    <row r="116" spans="1:18" ht="21.75" customHeight="1" x14ac:dyDescent="0.25">
      <c r="A116" s="1" t="s">
        <v>34</v>
      </c>
      <c r="B116" s="21" t="s">
        <v>345</v>
      </c>
      <c r="C116" s="1"/>
      <c r="P116" s="1">
        <v>81</v>
      </c>
      <c r="R116" s="15">
        <f t="shared" si="1"/>
        <v>81</v>
      </c>
    </row>
    <row r="117" spans="1:18" ht="21.75" customHeight="1" x14ac:dyDescent="0.25">
      <c r="A117" s="1" t="s">
        <v>34</v>
      </c>
      <c r="B117" s="21" t="s">
        <v>346</v>
      </c>
      <c r="C117" s="1"/>
      <c r="P117" s="1">
        <v>54</v>
      </c>
      <c r="Q117" s="1">
        <v>27</v>
      </c>
      <c r="R117" s="15">
        <f t="shared" si="1"/>
        <v>81</v>
      </c>
    </row>
    <row r="118" spans="1:18" ht="21.75" customHeight="1" x14ac:dyDescent="0.25">
      <c r="A118" s="1" t="s">
        <v>34</v>
      </c>
      <c r="B118" s="21" t="s">
        <v>347</v>
      </c>
      <c r="C118" s="1"/>
      <c r="P118" s="1">
        <v>54</v>
      </c>
      <c r="Q118" s="1">
        <v>27</v>
      </c>
      <c r="R118" s="15">
        <f t="shared" si="1"/>
        <v>81</v>
      </c>
    </row>
    <row r="119" spans="1:18" ht="21.75" customHeight="1" x14ac:dyDescent="0.25">
      <c r="A119" s="1">
        <v>116</v>
      </c>
      <c r="B119" s="21" t="s">
        <v>348</v>
      </c>
      <c r="C119" s="1"/>
      <c r="M119" s="1">
        <v>72</v>
      </c>
      <c r="R119" s="15">
        <f t="shared" si="1"/>
        <v>72</v>
      </c>
    </row>
    <row r="120" spans="1:18" ht="21.75" customHeight="1" x14ac:dyDescent="0.25">
      <c r="A120" s="1" t="s">
        <v>34</v>
      </c>
      <c r="B120" s="21" t="s">
        <v>349</v>
      </c>
      <c r="C120" s="1"/>
      <c r="M120" s="1">
        <v>72</v>
      </c>
      <c r="R120" s="15">
        <f t="shared" si="1"/>
        <v>72</v>
      </c>
    </row>
    <row r="121" spans="1:18" ht="21.75" customHeight="1" x14ac:dyDescent="0.25">
      <c r="A121" s="1" t="s">
        <v>34</v>
      </c>
      <c r="B121" s="21" t="s">
        <v>350</v>
      </c>
      <c r="C121" s="1"/>
      <c r="M121" s="1">
        <v>72</v>
      </c>
      <c r="R121" s="15">
        <f t="shared" si="1"/>
        <v>72</v>
      </c>
    </row>
    <row r="122" spans="1:18" ht="21.75" customHeight="1" x14ac:dyDescent="0.25">
      <c r="A122" s="1" t="s">
        <v>34</v>
      </c>
      <c r="B122" s="21" t="s">
        <v>351</v>
      </c>
      <c r="C122" s="1"/>
      <c r="D122" s="1">
        <v>48</v>
      </c>
      <c r="E122" s="1">
        <v>24</v>
      </c>
      <c r="R122" s="15">
        <f t="shared" si="1"/>
        <v>72</v>
      </c>
    </row>
    <row r="123" spans="1:18" ht="21.75" customHeight="1" x14ac:dyDescent="0.25">
      <c r="A123" s="1" t="s">
        <v>34</v>
      </c>
      <c r="B123" s="21" t="s">
        <v>352</v>
      </c>
      <c r="C123" s="1"/>
      <c r="D123" s="1">
        <v>72</v>
      </c>
      <c r="R123" s="15">
        <f t="shared" si="1"/>
        <v>72</v>
      </c>
    </row>
    <row r="124" spans="1:18" ht="21.75" customHeight="1" x14ac:dyDescent="0.25">
      <c r="A124" s="1" t="s">
        <v>34</v>
      </c>
      <c r="B124" s="21" t="s">
        <v>353</v>
      </c>
      <c r="C124" s="1"/>
      <c r="E124" s="1">
        <v>24</v>
      </c>
      <c r="G124" s="1">
        <v>48</v>
      </c>
      <c r="R124" s="15">
        <f t="shared" si="1"/>
        <v>72</v>
      </c>
    </row>
    <row r="125" spans="1:18" ht="21.75" customHeight="1" x14ac:dyDescent="0.25">
      <c r="A125" s="1">
        <v>122</v>
      </c>
      <c r="B125" s="21" t="s">
        <v>354</v>
      </c>
      <c r="C125" s="1"/>
      <c r="E125" s="1">
        <v>48</v>
      </c>
      <c r="F125" s="1">
        <v>18</v>
      </c>
      <c r="R125" s="15">
        <f t="shared" si="1"/>
        <v>66</v>
      </c>
    </row>
    <row r="126" spans="1:18" ht="21.75" customHeight="1" x14ac:dyDescent="0.25">
      <c r="A126" s="1">
        <v>123</v>
      </c>
      <c r="B126" s="21" t="s">
        <v>355</v>
      </c>
      <c r="C126" s="1"/>
      <c r="P126" s="1">
        <v>54</v>
      </c>
      <c r="R126" s="15">
        <f t="shared" si="1"/>
        <v>54</v>
      </c>
    </row>
    <row r="127" spans="1:18" ht="21.75" customHeight="1" x14ac:dyDescent="0.25">
      <c r="A127" s="1" t="s">
        <v>34</v>
      </c>
      <c r="B127" s="21" t="s">
        <v>356</v>
      </c>
      <c r="C127" s="1"/>
      <c r="P127" s="1">
        <v>54</v>
      </c>
      <c r="R127" s="15">
        <f t="shared" si="1"/>
        <v>54</v>
      </c>
    </row>
    <row r="128" spans="1:18" ht="21.75" customHeight="1" x14ac:dyDescent="0.25">
      <c r="A128" s="1" t="s">
        <v>34</v>
      </c>
      <c r="B128" s="21" t="s">
        <v>357</v>
      </c>
      <c r="C128" s="1"/>
      <c r="P128" s="1">
        <v>54</v>
      </c>
      <c r="R128" s="15">
        <f t="shared" si="1"/>
        <v>54</v>
      </c>
    </row>
    <row r="129" spans="1:18" ht="21.75" customHeight="1" x14ac:dyDescent="0.25">
      <c r="A129" s="1" t="s">
        <v>34</v>
      </c>
      <c r="B129" s="21" t="s">
        <v>358</v>
      </c>
      <c r="C129" s="1"/>
      <c r="P129" s="1">
        <v>54</v>
      </c>
      <c r="R129" s="15">
        <f t="shared" si="1"/>
        <v>54</v>
      </c>
    </row>
    <row r="130" spans="1:18" ht="21.75" customHeight="1" x14ac:dyDescent="0.25">
      <c r="A130" s="1" t="s">
        <v>34</v>
      </c>
      <c r="B130" s="21" t="s">
        <v>359</v>
      </c>
      <c r="C130" s="1"/>
      <c r="D130" s="1">
        <v>48</v>
      </c>
      <c r="I130" s="1">
        <v>6</v>
      </c>
      <c r="R130" s="15">
        <f t="shared" si="1"/>
        <v>54</v>
      </c>
    </row>
    <row r="131" spans="1:18" ht="21.75" customHeight="1" x14ac:dyDescent="0.25">
      <c r="A131" s="1" t="s">
        <v>34</v>
      </c>
      <c r="B131" s="21" t="s">
        <v>360</v>
      </c>
      <c r="C131" s="1"/>
      <c r="G131" s="1">
        <v>48</v>
      </c>
      <c r="I131" s="1">
        <v>6</v>
      </c>
      <c r="R131" s="15">
        <f t="shared" si="1"/>
        <v>54</v>
      </c>
    </row>
    <row r="132" spans="1:18" ht="21.75" customHeight="1" x14ac:dyDescent="0.25">
      <c r="A132" s="1" t="s">
        <v>34</v>
      </c>
      <c r="B132" s="21" t="s">
        <v>361</v>
      </c>
      <c r="C132" s="1"/>
      <c r="G132" s="1">
        <v>48</v>
      </c>
      <c r="I132" s="1">
        <v>6</v>
      </c>
      <c r="R132" s="15">
        <f t="shared" ref="R132:R195" si="2">SUM(C132:Q132)</f>
        <v>54</v>
      </c>
    </row>
    <row r="133" spans="1:18" ht="21.75" customHeight="1" x14ac:dyDescent="0.25">
      <c r="A133" s="1" t="s">
        <v>34</v>
      </c>
      <c r="B133" s="26" t="s">
        <v>362</v>
      </c>
      <c r="C133" s="1"/>
      <c r="K133" s="1">
        <v>54</v>
      </c>
      <c r="R133" s="15">
        <f t="shared" si="2"/>
        <v>54</v>
      </c>
    </row>
    <row r="134" spans="1:18" ht="21.75" customHeight="1" x14ac:dyDescent="0.25">
      <c r="A134" s="1" t="s">
        <v>34</v>
      </c>
      <c r="B134" s="21" t="s">
        <v>363</v>
      </c>
      <c r="C134" s="1"/>
      <c r="K134" s="1">
        <v>54</v>
      </c>
      <c r="R134" s="15">
        <f t="shared" si="2"/>
        <v>54</v>
      </c>
    </row>
    <row r="135" spans="1:18" ht="21.75" customHeight="1" x14ac:dyDescent="0.25">
      <c r="A135" s="1" t="s">
        <v>34</v>
      </c>
      <c r="B135" s="21" t="s">
        <v>364</v>
      </c>
      <c r="C135" s="1"/>
      <c r="K135" s="1">
        <v>54</v>
      </c>
      <c r="R135" s="15">
        <f t="shared" si="2"/>
        <v>54</v>
      </c>
    </row>
    <row r="136" spans="1:18" ht="21.75" customHeight="1" x14ac:dyDescent="0.25">
      <c r="A136" s="1" t="s">
        <v>34</v>
      </c>
      <c r="B136" s="21" t="s">
        <v>365</v>
      </c>
      <c r="C136" s="1"/>
      <c r="K136" s="1">
        <v>54</v>
      </c>
      <c r="R136" s="15">
        <f t="shared" si="2"/>
        <v>54</v>
      </c>
    </row>
    <row r="137" spans="1:18" ht="21.75" customHeight="1" x14ac:dyDescent="0.25">
      <c r="A137" s="1" t="s">
        <v>34</v>
      </c>
      <c r="B137" s="21" t="s">
        <v>366</v>
      </c>
      <c r="C137" s="1"/>
      <c r="K137" s="1">
        <v>54</v>
      </c>
      <c r="R137" s="15">
        <f t="shared" si="2"/>
        <v>54</v>
      </c>
    </row>
    <row r="138" spans="1:18" ht="21.75" customHeight="1" x14ac:dyDescent="0.25">
      <c r="A138" s="1" t="s">
        <v>34</v>
      </c>
      <c r="B138" s="21" t="s">
        <v>367</v>
      </c>
      <c r="C138" s="1"/>
      <c r="K138" s="1">
        <v>54</v>
      </c>
      <c r="R138" s="15">
        <f t="shared" si="2"/>
        <v>54</v>
      </c>
    </row>
    <row r="139" spans="1:18" ht="21.75" customHeight="1" x14ac:dyDescent="0.25">
      <c r="A139" s="1" t="s">
        <v>34</v>
      </c>
      <c r="B139" s="21" t="s">
        <v>368</v>
      </c>
      <c r="C139" s="1"/>
      <c r="K139" s="1">
        <v>54</v>
      </c>
      <c r="R139" s="15">
        <f t="shared" si="2"/>
        <v>54</v>
      </c>
    </row>
    <row r="140" spans="1:18" ht="21.75" customHeight="1" x14ac:dyDescent="0.25">
      <c r="A140" s="1" t="s">
        <v>34</v>
      </c>
      <c r="B140" s="21" t="s">
        <v>369</v>
      </c>
      <c r="C140" s="1"/>
      <c r="K140" s="1">
        <v>54</v>
      </c>
      <c r="R140" s="15">
        <f t="shared" si="2"/>
        <v>54</v>
      </c>
    </row>
    <row r="141" spans="1:18" ht="21.75" customHeight="1" x14ac:dyDescent="0.25">
      <c r="A141" s="1">
        <v>138</v>
      </c>
      <c r="B141" s="21" t="s">
        <v>370</v>
      </c>
      <c r="C141" s="1"/>
      <c r="G141" s="1">
        <v>48</v>
      </c>
      <c r="R141" s="15">
        <f t="shared" si="2"/>
        <v>48</v>
      </c>
    </row>
    <row r="142" spans="1:18" ht="21.75" customHeight="1" x14ac:dyDescent="0.25">
      <c r="A142" s="1" t="s">
        <v>34</v>
      </c>
      <c r="B142" s="21" t="s">
        <v>371</v>
      </c>
      <c r="C142" s="1"/>
      <c r="G142" s="1">
        <v>48</v>
      </c>
      <c r="R142" s="15">
        <f t="shared" si="2"/>
        <v>48</v>
      </c>
    </row>
    <row r="143" spans="1:18" ht="21.75" customHeight="1" x14ac:dyDescent="0.25">
      <c r="A143" s="1">
        <v>140</v>
      </c>
      <c r="B143" s="21" t="s">
        <v>372</v>
      </c>
      <c r="C143" s="1"/>
      <c r="E143" s="1">
        <v>24</v>
      </c>
      <c r="F143" s="1">
        <v>18</v>
      </c>
      <c r="R143" s="15">
        <f t="shared" si="2"/>
        <v>42</v>
      </c>
    </row>
    <row r="144" spans="1:18" ht="21.75" customHeight="1" x14ac:dyDescent="0.25">
      <c r="A144" s="1">
        <v>141</v>
      </c>
      <c r="B144" s="21" t="s">
        <v>373</v>
      </c>
      <c r="C144" s="1"/>
      <c r="E144" s="1">
        <v>24</v>
      </c>
      <c r="I144" s="1">
        <v>12</v>
      </c>
      <c r="R144" s="15">
        <f t="shared" si="2"/>
        <v>36</v>
      </c>
    </row>
    <row r="145" spans="1:18" ht="21.75" customHeight="1" x14ac:dyDescent="0.25">
      <c r="A145" s="1">
        <v>142</v>
      </c>
      <c r="B145" s="21" t="s">
        <v>374</v>
      </c>
      <c r="C145" s="1">
        <v>27</v>
      </c>
      <c r="R145" s="15">
        <f t="shared" si="2"/>
        <v>27</v>
      </c>
    </row>
    <row r="146" spans="1:18" ht="21.75" customHeight="1" x14ac:dyDescent="0.25">
      <c r="A146" s="1">
        <v>143</v>
      </c>
      <c r="B146" s="21" t="s">
        <v>375</v>
      </c>
      <c r="C146" s="1"/>
      <c r="E146" s="1">
        <v>24</v>
      </c>
      <c r="R146" s="15">
        <f t="shared" si="2"/>
        <v>24</v>
      </c>
    </row>
    <row r="147" spans="1:18" ht="21.75" customHeight="1" x14ac:dyDescent="0.25">
      <c r="A147" s="1" t="s">
        <v>34</v>
      </c>
      <c r="B147" s="21" t="s">
        <v>376</v>
      </c>
      <c r="C147" s="1"/>
      <c r="E147" s="1">
        <v>24</v>
      </c>
      <c r="R147" s="15">
        <f t="shared" si="2"/>
        <v>24</v>
      </c>
    </row>
    <row r="148" spans="1:18" ht="21.75" customHeight="1" x14ac:dyDescent="0.25">
      <c r="A148" s="1" t="s">
        <v>34</v>
      </c>
      <c r="B148" s="21" t="s">
        <v>377</v>
      </c>
      <c r="C148" s="1"/>
      <c r="E148" s="1">
        <v>24</v>
      </c>
      <c r="R148" s="15">
        <f t="shared" si="2"/>
        <v>24</v>
      </c>
    </row>
    <row r="149" spans="1:18" ht="21.75" customHeight="1" x14ac:dyDescent="0.25">
      <c r="A149" s="1" t="s">
        <v>34</v>
      </c>
      <c r="B149" s="21" t="s">
        <v>378</v>
      </c>
      <c r="C149" s="1">
        <v>24</v>
      </c>
      <c r="R149" s="15">
        <f t="shared" si="2"/>
        <v>24</v>
      </c>
    </row>
    <row r="150" spans="1:18" ht="21.75" customHeight="1" x14ac:dyDescent="0.25">
      <c r="A150" s="1" t="s">
        <v>34</v>
      </c>
      <c r="B150" s="21" t="s">
        <v>379</v>
      </c>
      <c r="C150" s="1">
        <v>24</v>
      </c>
      <c r="R150" s="15">
        <f t="shared" si="2"/>
        <v>24</v>
      </c>
    </row>
    <row r="151" spans="1:18" ht="21.75" customHeight="1" x14ac:dyDescent="0.25">
      <c r="A151" s="1" t="s">
        <v>34</v>
      </c>
      <c r="B151" s="21" t="s">
        <v>380</v>
      </c>
      <c r="C151" s="1"/>
      <c r="D151" s="1">
        <v>24</v>
      </c>
      <c r="R151" s="15">
        <f t="shared" si="2"/>
        <v>24</v>
      </c>
    </row>
    <row r="152" spans="1:18" ht="21.75" customHeight="1" x14ac:dyDescent="0.25">
      <c r="A152" s="1" t="s">
        <v>34</v>
      </c>
      <c r="B152" s="21" t="s">
        <v>381</v>
      </c>
      <c r="C152" s="1"/>
      <c r="D152" s="1">
        <v>24</v>
      </c>
      <c r="R152" s="15">
        <f t="shared" si="2"/>
        <v>24</v>
      </c>
    </row>
    <row r="153" spans="1:18" ht="21.75" customHeight="1" x14ac:dyDescent="0.25">
      <c r="A153" s="1">
        <v>150</v>
      </c>
      <c r="B153" s="21" t="s">
        <v>382</v>
      </c>
      <c r="C153" s="1"/>
      <c r="F153" s="1">
        <v>18</v>
      </c>
      <c r="R153" s="15">
        <f t="shared" si="2"/>
        <v>18</v>
      </c>
    </row>
    <row r="154" spans="1:18" ht="21.75" customHeight="1" x14ac:dyDescent="0.25">
      <c r="A154" s="1" t="s">
        <v>34</v>
      </c>
      <c r="B154" s="21" t="s">
        <v>383</v>
      </c>
      <c r="C154" s="1"/>
      <c r="F154" s="1">
        <v>18</v>
      </c>
      <c r="R154" s="15">
        <f t="shared" si="2"/>
        <v>18</v>
      </c>
    </row>
    <row r="155" spans="1:18" ht="21.75" customHeight="1" x14ac:dyDescent="0.25">
      <c r="A155" s="1" t="s">
        <v>34</v>
      </c>
      <c r="B155" s="21" t="s">
        <v>384</v>
      </c>
      <c r="C155" s="1"/>
      <c r="F155" s="1">
        <v>18</v>
      </c>
      <c r="R155" s="15">
        <f t="shared" si="2"/>
        <v>18</v>
      </c>
    </row>
    <row r="156" spans="1:18" ht="21.75" customHeight="1" x14ac:dyDescent="0.25">
      <c r="A156" s="1" t="s">
        <v>34</v>
      </c>
      <c r="B156" s="21" t="s">
        <v>385</v>
      </c>
      <c r="C156" s="1"/>
      <c r="F156" s="1">
        <v>18</v>
      </c>
      <c r="R156" s="15">
        <f t="shared" si="2"/>
        <v>18</v>
      </c>
    </row>
    <row r="157" spans="1:18" ht="21.75" customHeight="1" x14ac:dyDescent="0.25">
      <c r="A157" s="1" t="s">
        <v>34</v>
      </c>
      <c r="B157" s="21" t="s">
        <v>386</v>
      </c>
      <c r="C157" s="1"/>
      <c r="E157" s="1">
        <v>12</v>
      </c>
      <c r="I157" s="1">
        <v>6</v>
      </c>
      <c r="R157" s="15">
        <f t="shared" si="2"/>
        <v>18</v>
      </c>
    </row>
    <row r="158" spans="1:18" ht="21.75" customHeight="1" x14ac:dyDescent="0.25">
      <c r="A158" s="1" t="s">
        <v>34</v>
      </c>
      <c r="B158" s="21" t="s">
        <v>387</v>
      </c>
      <c r="C158" s="1"/>
      <c r="E158" s="1">
        <v>12</v>
      </c>
      <c r="I158" s="1">
        <v>6</v>
      </c>
      <c r="R158" s="15">
        <f t="shared" si="2"/>
        <v>18</v>
      </c>
    </row>
    <row r="159" spans="1:18" ht="21.75" customHeight="1" x14ac:dyDescent="0.25">
      <c r="A159" s="1" t="s">
        <v>34</v>
      </c>
      <c r="B159" s="21" t="s">
        <v>388</v>
      </c>
      <c r="C159" s="1"/>
      <c r="E159" s="1">
        <v>12</v>
      </c>
      <c r="I159" s="1">
        <v>6</v>
      </c>
      <c r="R159" s="15">
        <f t="shared" si="2"/>
        <v>18</v>
      </c>
    </row>
    <row r="160" spans="1:18" ht="21.75" customHeight="1" x14ac:dyDescent="0.25">
      <c r="A160" s="1">
        <v>157</v>
      </c>
      <c r="B160" s="21" t="s">
        <v>389</v>
      </c>
      <c r="C160" s="1"/>
      <c r="E160" s="1">
        <v>12</v>
      </c>
      <c r="R160" s="15">
        <f t="shared" si="2"/>
        <v>12</v>
      </c>
    </row>
    <row r="161" spans="1:18" ht="21.75" customHeight="1" x14ac:dyDescent="0.25">
      <c r="A161" s="1" t="s">
        <v>34</v>
      </c>
      <c r="B161" s="21" t="s">
        <v>390</v>
      </c>
      <c r="C161" s="1"/>
      <c r="E161" s="1">
        <v>12</v>
      </c>
      <c r="R161" s="15">
        <f t="shared" si="2"/>
        <v>12</v>
      </c>
    </row>
    <row r="162" spans="1:18" ht="21.75" customHeight="1" x14ac:dyDescent="0.25">
      <c r="A162" s="1" t="s">
        <v>34</v>
      </c>
      <c r="B162" s="21" t="s">
        <v>391</v>
      </c>
      <c r="C162" s="1"/>
      <c r="I162" s="1">
        <v>12</v>
      </c>
      <c r="R162" s="15">
        <f t="shared" si="2"/>
        <v>12</v>
      </c>
    </row>
    <row r="163" spans="1:18" ht="21.75" customHeight="1" x14ac:dyDescent="0.25">
      <c r="A163" s="1" t="s">
        <v>34</v>
      </c>
      <c r="B163" s="21" t="s">
        <v>392</v>
      </c>
      <c r="C163" s="1"/>
      <c r="I163" s="1">
        <v>12</v>
      </c>
      <c r="R163" s="15">
        <f t="shared" si="2"/>
        <v>12</v>
      </c>
    </row>
    <row r="164" spans="1:18" ht="21.75" customHeight="1" x14ac:dyDescent="0.25">
      <c r="A164" s="1" t="s">
        <v>34</v>
      </c>
      <c r="B164" s="21" t="s">
        <v>393</v>
      </c>
      <c r="C164" s="1"/>
      <c r="I164" s="1">
        <v>12</v>
      </c>
      <c r="R164" s="15">
        <f t="shared" si="2"/>
        <v>12</v>
      </c>
    </row>
    <row r="165" spans="1:18" ht="21.75" customHeight="1" x14ac:dyDescent="0.25">
      <c r="A165" s="1">
        <v>162</v>
      </c>
      <c r="B165" s="21" t="s">
        <v>394</v>
      </c>
      <c r="C165" s="1"/>
      <c r="I165" s="1">
        <v>6</v>
      </c>
      <c r="R165" s="15">
        <f t="shared" si="2"/>
        <v>6</v>
      </c>
    </row>
    <row r="166" spans="1:18" ht="21.75" customHeight="1" x14ac:dyDescent="0.25">
      <c r="A166" s="1" t="s">
        <v>34</v>
      </c>
      <c r="B166" s="21" t="s">
        <v>395</v>
      </c>
      <c r="C166" s="1"/>
      <c r="I166" s="1">
        <v>6</v>
      </c>
      <c r="R166" s="15">
        <f t="shared" si="2"/>
        <v>6</v>
      </c>
    </row>
    <row r="167" spans="1:18" ht="21.75" customHeight="1" x14ac:dyDescent="0.25">
      <c r="A167" s="1" t="s">
        <v>34</v>
      </c>
      <c r="B167" s="21" t="s">
        <v>396</v>
      </c>
      <c r="C167" s="1"/>
      <c r="I167" s="1">
        <v>6</v>
      </c>
      <c r="R167" s="15">
        <f t="shared" si="2"/>
        <v>6</v>
      </c>
    </row>
    <row r="168" spans="1:18" ht="21.75" customHeight="1" x14ac:dyDescent="0.25">
      <c r="A168" s="1" t="s">
        <v>34</v>
      </c>
      <c r="B168" s="21" t="s">
        <v>397</v>
      </c>
      <c r="C168" s="1"/>
      <c r="I168" s="1">
        <v>6</v>
      </c>
      <c r="R168" s="15">
        <f t="shared" si="2"/>
        <v>6</v>
      </c>
    </row>
    <row r="169" spans="1:18" ht="21.75" customHeight="1" x14ac:dyDescent="0.25">
      <c r="A169" s="1" t="s">
        <v>34</v>
      </c>
      <c r="B169" s="21" t="s">
        <v>398</v>
      </c>
      <c r="C169" s="1"/>
      <c r="I169" s="1">
        <v>6</v>
      </c>
      <c r="R169" s="15">
        <f t="shared" si="2"/>
        <v>6</v>
      </c>
    </row>
    <row r="170" spans="1:18" ht="21.75" customHeight="1" x14ac:dyDescent="0.25">
      <c r="A170" s="1">
        <f t="shared" ref="A170:A201" si="3">IF(R170=R169,"-",S170)</f>
        <v>0</v>
      </c>
      <c r="C170" s="1"/>
      <c r="R170" s="15">
        <f t="shared" si="2"/>
        <v>0</v>
      </c>
    </row>
    <row r="171" spans="1:18" ht="21.75" customHeight="1" x14ac:dyDescent="0.25">
      <c r="A171" s="1" t="str">
        <f t="shared" si="3"/>
        <v>-</v>
      </c>
      <c r="C171" s="1"/>
      <c r="R171" s="15">
        <f t="shared" si="2"/>
        <v>0</v>
      </c>
    </row>
    <row r="172" spans="1:18" ht="21.75" customHeight="1" x14ac:dyDescent="0.25">
      <c r="A172" s="1" t="str">
        <f t="shared" si="3"/>
        <v>-</v>
      </c>
      <c r="B172" s="25"/>
      <c r="C172" s="1"/>
      <c r="R172" s="15">
        <f t="shared" si="2"/>
        <v>0</v>
      </c>
    </row>
    <row r="173" spans="1:18" ht="21.75" customHeight="1" x14ac:dyDescent="0.25">
      <c r="A173" s="1" t="str">
        <f t="shared" si="3"/>
        <v>-</v>
      </c>
      <c r="C173" s="1"/>
      <c r="R173" s="15">
        <f t="shared" si="2"/>
        <v>0</v>
      </c>
    </row>
    <row r="174" spans="1:18" ht="21.75" customHeight="1" x14ac:dyDescent="0.25">
      <c r="A174" s="1" t="str">
        <f t="shared" si="3"/>
        <v>-</v>
      </c>
      <c r="C174" s="1"/>
      <c r="R174" s="15">
        <f t="shared" si="2"/>
        <v>0</v>
      </c>
    </row>
    <row r="175" spans="1:18" ht="21.75" customHeight="1" x14ac:dyDescent="0.25">
      <c r="A175" s="1" t="str">
        <f t="shared" si="3"/>
        <v>-</v>
      </c>
      <c r="C175" s="1"/>
      <c r="R175" s="15">
        <f t="shared" si="2"/>
        <v>0</v>
      </c>
    </row>
    <row r="176" spans="1:18" ht="21.75" customHeight="1" x14ac:dyDescent="0.25">
      <c r="A176" s="1" t="str">
        <f t="shared" si="3"/>
        <v>-</v>
      </c>
      <c r="C176" s="1"/>
      <c r="R176" s="15">
        <f t="shared" si="2"/>
        <v>0</v>
      </c>
    </row>
    <row r="177" spans="1:18" ht="21.75" customHeight="1" x14ac:dyDescent="0.25">
      <c r="A177" s="1" t="str">
        <f t="shared" si="3"/>
        <v>-</v>
      </c>
      <c r="C177" s="1"/>
      <c r="R177" s="15">
        <f t="shared" si="2"/>
        <v>0</v>
      </c>
    </row>
    <row r="178" spans="1:18" ht="21.75" customHeight="1" x14ac:dyDescent="0.25">
      <c r="A178" s="1" t="str">
        <f t="shared" si="3"/>
        <v>-</v>
      </c>
      <c r="C178" s="1"/>
      <c r="R178" s="15">
        <f t="shared" si="2"/>
        <v>0</v>
      </c>
    </row>
    <row r="179" spans="1:18" ht="21.75" customHeight="1" x14ac:dyDescent="0.25">
      <c r="A179" s="1" t="str">
        <f t="shared" si="3"/>
        <v>-</v>
      </c>
      <c r="C179" s="1"/>
      <c r="R179" s="15">
        <f t="shared" si="2"/>
        <v>0</v>
      </c>
    </row>
    <row r="180" spans="1:18" ht="21.75" customHeight="1" x14ac:dyDescent="0.25">
      <c r="A180" s="1" t="str">
        <f t="shared" si="3"/>
        <v>-</v>
      </c>
      <c r="C180" s="1"/>
      <c r="R180" s="15">
        <f t="shared" si="2"/>
        <v>0</v>
      </c>
    </row>
    <row r="181" spans="1:18" ht="21.75" customHeight="1" x14ac:dyDescent="0.25">
      <c r="A181" s="1" t="str">
        <f t="shared" si="3"/>
        <v>-</v>
      </c>
      <c r="C181" s="1"/>
      <c r="R181" s="15">
        <f t="shared" si="2"/>
        <v>0</v>
      </c>
    </row>
    <row r="182" spans="1:18" ht="21.75" customHeight="1" x14ac:dyDescent="0.25">
      <c r="A182" s="1" t="str">
        <f t="shared" si="3"/>
        <v>-</v>
      </c>
      <c r="C182" s="1"/>
      <c r="R182" s="15">
        <f t="shared" si="2"/>
        <v>0</v>
      </c>
    </row>
    <row r="183" spans="1:18" ht="21.75" customHeight="1" x14ac:dyDescent="0.25">
      <c r="A183" s="1" t="str">
        <f t="shared" si="3"/>
        <v>-</v>
      </c>
      <c r="C183" s="1"/>
      <c r="R183" s="15">
        <f t="shared" si="2"/>
        <v>0</v>
      </c>
    </row>
    <row r="184" spans="1:18" ht="21.75" customHeight="1" x14ac:dyDescent="0.25">
      <c r="A184" s="1" t="str">
        <f t="shared" si="3"/>
        <v>-</v>
      </c>
      <c r="B184" s="9"/>
      <c r="C184" s="1"/>
      <c r="R184" s="15">
        <f t="shared" si="2"/>
        <v>0</v>
      </c>
    </row>
    <row r="185" spans="1:18" ht="21.75" customHeight="1" x14ac:dyDescent="0.25">
      <c r="A185" s="1" t="str">
        <f t="shared" si="3"/>
        <v>-</v>
      </c>
      <c r="B185" s="9"/>
      <c r="C185" s="1"/>
      <c r="R185" s="15">
        <f t="shared" si="2"/>
        <v>0</v>
      </c>
    </row>
    <row r="186" spans="1:18" ht="21.75" customHeight="1" x14ac:dyDescent="0.25">
      <c r="A186" s="1" t="str">
        <f t="shared" si="3"/>
        <v>-</v>
      </c>
      <c r="C186" s="1"/>
      <c r="R186" s="15">
        <f t="shared" si="2"/>
        <v>0</v>
      </c>
    </row>
    <row r="187" spans="1:18" ht="21.75" customHeight="1" x14ac:dyDescent="0.25">
      <c r="A187" s="1" t="str">
        <f t="shared" si="3"/>
        <v>-</v>
      </c>
      <c r="C187" s="1"/>
      <c r="R187" s="15">
        <f t="shared" si="2"/>
        <v>0</v>
      </c>
    </row>
    <row r="188" spans="1:18" ht="21.75" customHeight="1" x14ac:dyDescent="0.25">
      <c r="A188" s="1" t="str">
        <f t="shared" si="3"/>
        <v>-</v>
      </c>
      <c r="C188" s="1"/>
      <c r="R188" s="15">
        <f t="shared" si="2"/>
        <v>0</v>
      </c>
    </row>
    <row r="189" spans="1:18" ht="21.75" customHeight="1" x14ac:dyDescent="0.25">
      <c r="A189" s="1" t="str">
        <f t="shared" si="3"/>
        <v>-</v>
      </c>
      <c r="C189" s="1"/>
      <c r="R189" s="15">
        <f t="shared" si="2"/>
        <v>0</v>
      </c>
    </row>
    <row r="190" spans="1:18" ht="21.75" customHeight="1" x14ac:dyDescent="0.25">
      <c r="A190" s="1" t="str">
        <f t="shared" si="3"/>
        <v>-</v>
      </c>
      <c r="C190" s="1"/>
      <c r="R190" s="15">
        <f t="shared" si="2"/>
        <v>0</v>
      </c>
    </row>
    <row r="191" spans="1:18" ht="21.75" customHeight="1" x14ac:dyDescent="0.25">
      <c r="A191" s="1" t="str">
        <f t="shared" si="3"/>
        <v>-</v>
      </c>
      <c r="C191" s="1"/>
      <c r="R191" s="15">
        <f t="shared" si="2"/>
        <v>0</v>
      </c>
    </row>
    <row r="192" spans="1:18" ht="21.75" customHeight="1" x14ac:dyDescent="0.25">
      <c r="A192" s="1" t="str">
        <f t="shared" si="3"/>
        <v>-</v>
      </c>
      <c r="C192" s="1"/>
      <c r="R192" s="15">
        <f t="shared" si="2"/>
        <v>0</v>
      </c>
    </row>
    <row r="193" spans="1:18" ht="21.75" customHeight="1" x14ac:dyDescent="0.25">
      <c r="A193" s="1" t="str">
        <f t="shared" si="3"/>
        <v>-</v>
      </c>
      <c r="C193" s="1"/>
      <c r="R193" s="15">
        <f t="shared" si="2"/>
        <v>0</v>
      </c>
    </row>
    <row r="194" spans="1:18" ht="21.75" customHeight="1" x14ac:dyDescent="0.25">
      <c r="A194" s="1" t="str">
        <f t="shared" si="3"/>
        <v>-</v>
      </c>
      <c r="C194" s="1"/>
      <c r="R194" s="15">
        <f t="shared" si="2"/>
        <v>0</v>
      </c>
    </row>
    <row r="195" spans="1:18" ht="21.75" customHeight="1" x14ac:dyDescent="0.25">
      <c r="A195" s="1" t="str">
        <f t="shared" si="3"/>
        <v>-</v>
      </c>
      <c r="C195" s="1"/>
      <c r="R195" s="15">
        <f t="shared" si="2"/>
        <v>0</v>
      </c>
    </row>
    <row r="196" spans="1:18" ht="21.75" customHeight="1" x14ac:dyDescent="0.25">
      <c r="A196" s="1" t="str">
        <f t="shared" si="3"/>
        <v>-</v>
      </c>
      <c r="C196" s="1"/>
      <c r="R196" s="15">
        <f t="shared" ref="R196:R232" si="4">SUM(C196:Q196)</f>
        <v>0</v>
      </c>
    </row>
    <row r="197" spans="1:18" ht="21.75" customHeight="1" x14ac:dyDescent="0.25">
      <c r="A197" s="1" t="str">
        <f t="shared" si="3"/>
        <v>-</v>
      </c>
      <c r="C197" s="1"/>
      <c r="R197" s="15">
        <f t="shared" si="4"/>
        <v>0</v>
      </c>
    </row>
    <row r="198" spans="1:18" ht="21.75" customHeight="1" x14ac:dyDescent="0.25">
      <c r="A198" s="1" t="str">
        <f t="shared" si="3"/>
        <v>-</v>
      </c>
      <c r="C198" s="1"/>
      <c r="R198" s="15">
        <f t="shared" si="4"/>
        <v>0</v>
      </c>
    </row>
    <row r="199" spans="1:18" ht="21.75" customHeight="1" x14ac:dyDescent="0.25">
      <c r="A199" s="1" t="str">
        <f t="shared" si="3"/>
        <v>-</v>
      </c>
      <c r="C199" s="1"/>
      <c r="R199" s="15">
        <f t="shared" si="4"/>
        <v>0</v>
      </c>
    </row>
    <row r="200" spans="1:18" ht="21.75" customHeight="1" x14ac:dyDescent="0.25">
      <c r="A200" s="1" t="str">
        <f t="shared" si="3"/>
        <v>-</v>
      </c>
      <c r="C200" s="1"/>
      <c r="R200" s="15">
        <f t="shared" si="4"/>
        <v>0</v>
      </c>
    </row>
    <row r="201" spans="1:18" ht="21.75" customHeight="1" x14ac:dyDescent="0.25">
      <c r="A201" s="1" t="str">
        <f t="shared" si="3"/>
        <v>-</v>
      </c>
      <c r="C201" s="1"/>
      <c r="R201" s="15">
        <f t="shared" si="4"/>
        <v>0</v>
      </c>
    </row>
    <row r="202" spans="1:18" ht="21.75" customHeight="1" x14ac:dyDescent="0.25">
      <c r="A202" s="1" t="str">
        <f t="shared" ref="A202:A232" si="5">IF(R202=R201,"-",S202)</f>
        <v>-</v>
      </c>
      <c r="C202" s="1"/>
      <c r="R202" s="15">
        <f t="shared" si="4"/>
        <v>0</v>
      </c>
    </row>
    <row r="203" spans="1:18" ht="21.75" customHeight="1" x14ac:dyDescent="0.25">
      <c r="A203" s="1" t="str">
        <f t="shared" si="5"/>
        <v>-</v>
      </c>
      <c r="C203" s="1"/>
      <c r="R203" s="15">
        <f t="shared" si="4"/>
        <v>0</v>
      </c>
    </row>
    <row r="204" spans="1:18" ht="21.75" customHeight="1" x14ac:dyDescent="0.25">
      <c r="A204" s="1" t="str">
        <f t="shared" si="5"/>
        <v>-</v>
      </c>
      <c r="C204" s="1"/>
      <c r="R204" s="15">
        <f t="shared" si="4"/>
        <v>0</v>
      </c>
    </row>
    <row r="205" spans="1:18" ht="21.75" customHeight="1" x14ac:dyDescent="0.25">
      <c r="A205" s="1" t="str">
        <f t="shared" si="5"/>
        <v>-</v>
      </c>
      <c r="C205" s="1"/>
      <c r="R205" s="15">
        <f t="shared" si="4"/>
        <v>0</v>
      </c>
    </row>
    <row r="206" spans="1:18" ht="21.75" customHeight="1" x14ac:dyDescent="0.25">
      <c r="A206" s="1" t="str">
        <f t="shared" si="5"/>
        <v>-</v>
      </c>
      <c r="C206" s="1"/>
      <c r="R206" s="15">
        <f t="shared" si="4"/>
        <v>0</v>
      </c>
    </row>
    <row r="207" spans="1:18" ht="21.75" customHeight="1" x14ac:dyDescent="0.25">
      <c r="A207" s="1" t="str">
        <f t="shared" si="5"/>
        <v>-</v>
      </c>
      <c r="C207" s="1"/>
      <c r="R207" s="15">
        <f t="shared" si="4"/>
        <v>0</v>
      </c>
    </row>
    <row r="208" spans="1:18" ht="21.75" customHeight="1" x14ac:dyDescent="0.25">
      <c r="A208" s="1" t="str">
        <f t="shared" si="5"/>
        <v>-</v>
      </c>
      <c r="C208" s="1"/>
      <c r="R208" s="15">
        <f t="shared" si="4"/>
        <v>0</v>
      </c>
    </row>
    <row r="209" spans="1:18" ht="21.75" customHeight="1" x14ac:dyDescent="0.25">
      <c r="A209" s="1" t="str">
        <f t="shared" si="5"/>
        <v>-</v>
      </c>
      <c r="C209" s="1"/>
      <c r="R209" s="15">
        <f t="shared" si="4"/>
        <v>0</v>
      </c>
    </row>
    <row r="210" spans="1:18" ht="21.75" customHeight="1" x14ac:dyDescent="0.25">
      <c r="A210" s="1" t="str">
        <f t="shared" si="5"/>
        <v>-</v>
      </c>
      <c r="C210" s="1"/>
      <c r="R210" s="15">
        <f t="shared" si="4"/>
        <v>0</v>
      </c>
    </row>
    <row r="211" spans="1:18" ht="21.75" customHeight="1" x14ac:dyDescent="0.25">
      <c r="A211" s="1" t="str">
        <f t="shared" si="5"/>
        <v>-</v>
      </c>
      <c r="C211" s="1"/>
      <c r="R211" s="15">
        <f t="shared" si="4"/>
        <v>0</v>
      </c>
    </row>
    <row r="212" spans="1:18" ht="21.75" customHeight="1" x14ac:dyDescent="0.25">
      <c r="A212" s="1" t="str">
        <f t="shared" si="5"/>
        <v>-</v>
      </c>
      <c r="C212" s="1"/>
      <c r="R212" s="15">
        <f t="shared" si="4"/>
        <v>0</v>
      </c>
    </row>
    <row r="213" spans="1:18" ht="21.75" customHeight="1" x14ac:dyDescent="0.25">
      <c r="A213" s="1" t="str">
        <f t="shared" si="5"/>
        <v>-</v>
      </c>
      <c r="C213" s="1"/>
      <c r="R213" s="15">
        <f t="shared" si="4"/>
        <v>0</v>
      </c>
    </row>
    <row r="214" spans="1:18" ht="21.75" customHeight="1" x14ac:dyDescent="0.25">
      <c r="A214" s="1" t="str">
        <f t="shared" si="5"/>
        <v>-</v>
      </c>
      <c r="C214" s="1"/>
      <c r="R214" s="15">
        <f t="shared" si="4"/>
        <v>0</v>
      </c>
    </row>
    <row r="215" spans="1:18" ht="21.75" customHeight="1" x14ac:dyDescent="0.25">
      <c r="A215" s="1" t="str">
        <f t="shared" si="5"/>
        <v>-</v>
      </c>
      <c r="C215" s="1"/>
      <c r="R215" s="15">
        <f t="shared" si="4"/>
        <v>0</v>
      </c>
    </row>
    <row r="216" spans="1:18" ht="21.75" customHeight="1" x14ac:dyDescent="0.25">
      <c r="A216" s="1" t="str">
        <f t="shared" si="5"/>
        <v>-</v>
      </c>
      <c r="C216" s="1"/>
      <c r="R216" s="15">
        <f t="shared" si="4"/>
        <v>0</v>
      </c>
    </row>
    <row r="217" spans="1:18" ht="21.75" customHeight="1" x14ac:dyDescent="0.25">
      <c r="A217" s="1" t="str">
        <f t="shared" si="5"/>
        <v>-</v>
      </c>
      <c r="C217" s="1"/>
      <c r="R217" s="15">
        <f t="shared" si="4"/>
        <v>0</v>
      </c>
    </row>
    <row r="218" spans="1:18" ht="21.75" customHeight="1" x14ac:dyDescent="0.25">
      <c r="A218" s="1" t="str">
        <f t="shared" si="5"/>
        <v>-</v>
      </c>
      <c r="C218" s="1"/>
      <c r="R218" s="15">
        <f t="shared" si="4"/>
        <v>0</v>
      </c>
    </row>
    <row r="219" spans="1:18" ht="21.75" customHeight="1" x14ac:dyDescent="0.25">
      <c r="A219" s="1" t="str">
        <f t="shared" si="5"/>
        <v>-</v>
      </c>
      <c r="C219" s="1"/>
      <c r="R219" s="15">
        <f t="shared" si="4"/>
        <v>0</v>
      </c>
    </row>
    <row r="220" spans="1:18" ht="21.75" customHeight="1" x14ac:dyDescent="0.25">
      <c r="A220" s="1" t="str">
        <f t="shared" si="5"/>
        <v>-</v>
      </c>
      <c r="C220" s="1"/>
      <c r="R220" s="15">
        <f t="shared" si="4"/>
        <v>0</v>
      </c>
    </row>
    <row r="221" spans="1:18" ht="21.75" customHeight="1" x14ac:dyDescent="0.25">
      <c r="A221" s="1" t="str">
        <f t="shared" si="5"/>
        <v>-</v>
      </c>
      <c r="C221" s="1"/>
      <c r="R221" s="15">
        <f t="shared" si="4"/>
        <v>0</v>
      </c>
    </row>
    <row r="222" spans="1:18" ht="21.75" customHeight="1" x14ac:dyDescent="0.25">
      <c r="A222" s="1" t="str">
        <f t="shared" si="5"/>
        <v>-</v>
      </c>
      <c r="C222" s="1"/>
      <c r="R222" s="15">
        <f t="shared" si="4"/>
        <v>0</v>
      </c>
    </row>
    <row r="223" spans="1:18" ht="21.75" customHeight="1" x14ac:dyDescent="0.25">
      <c r="A223" s="1" t="str">
        <f t="shared" si="5"/>
        <v>-</v>
      </c>
      <c r="C223" s="1"/>
      <c r="R223" s="15">
        <f t="shared" si="4"/>
        <v>0</v>
      </c>
    </row>
    <row r="224" spans="1:18" ht="21.75" customHeight="1" x14ac:dyDescent="0.25">
      <c r="A224" s="1" t="str">
        <f t="shared" si="5"/>
        <v>-</v>
      </c>
      <c r="C224" s="1"/>
      <c r="R224" s="15">
        <f t="shared" si="4"/>
        <v>0</v>
      </c>
    </row>
    <row r="225" spans="1:25" ht="21.75" customHeight="1" x14ac:dyDescent="0.25">
      <c r="A225" s="1" t="str">
        <f t="shared" si="5"/>
        <v>-</v>
      </c>
      <c r="C225" s="1"/>
      <c r="R225" s="15">
        <f t="shared" si="4"/>
        <v>0</v>
      </c>
    </row>
    <row r="226" spans="1:25" ht="21.75" customHeight="1" x14ac:dyDescent="0.25">
      <c r="A226" s="1" t="str">
        <f t="shared" si="5"/>
        <v>-</v>
      </c>
      <c r="C226" s="1"/>
      <c r="R226" s="15">
        <f t="shared" si="4"/>
        <v>0</v>
      </c>
    </row>
    <row r="227" spans="1:25" ht="21.75" customHeight="1" x14ac:dyDescent="0.25">
      <c r="A227" s="1" t="str">
        <f t="shared" si="5"/>
        <v>-</v>
      </c>
      <c r="C227" s="1"/>
      <c r="R227" s="15">
        <f t="shared" si="4"/>
        <v>0</v>
      </c>
    </row>
    <row r="228" spans="1:25" ht="21.75" customHeight="1" x14ac:dyDescent="0.25">
      <c r="A228" s="1" t="str">
        <f t="shared" si="5"/>
        <v>-</v>
      </c>
      <c r="C228" s="1"/>
      <c r="R228" s="15">
        <f t="shared" si="4"/>
        <v>0</v>
      </c>
    </row>
    <row r="229" spans="1:25" ht="21.75" customHeight="1" x14ac:dyDescent="0.25">
      <c r="A229" s="1" t="str">
        <f t="shared" si="5"/>
        <v>-</v>
      </c>
      <c r="C229" s="1"/>
      <c r="R229" s="15">
        <f t="shared" si="4"/>
        <v>0</v>
      </c>
    </row>
    <row r="230" spans="1:25" ht="21.75" customHeight="1" x14ac:dyDescent="0.25">
      <c r="A230" s="1" t="str">
        <f t="shared" si="5"/>
        <v>-</v>
      </c>
      <c r="C230" s="1"/>
      <c r="R230" s="15">
        <f t="shared" si="4"/>
        <v>0</v>
      </c>
    </row>
    <row r="231" spans="1:25" ht="21.75" customHeight="1" x14ac:dyDescent="0.25">
      <c r="A231" s="1" t="str">
        <f t="shared" si="5"/>
        <v>-</v>
      </c>
      <c r="C231" s="1"/>
      <c r="R231" s="15">
        <f t="shared" si="4"/>
        <v>0</v>
      </c>
    </row>
    <row r="232" spans="1:25" ht="21.75" customHeight="1" x14ac:dyDescent="0.25">
      <c r="A232" s="1" t="str">
        <f t="shared" si="5"/>
        <v>-</v>
      </c>
      <c r="C232" s="1"/>
      <c r="R232" s="15">
        <f t="shared" si="4"/>
        <v>0</v>
      </c>
    </row>
    <row r="233" spans="1:25" s="17" customFormat="1" ht="86.25" customHeight="1" x14ac:dyDescent="0.25">
      <c r="A233" s="48" t="s">
        <v>230</v>
      </c>
      <c r="B233" s="48"/>
      <c r="C233" s="48"/>
      <c r="D233" s="1"/>
      <c r="E233" s="1"/>
      <c r="F233" s="1"/>
      <c r="G233" s="1"/>
      <c r="H233" s="1"/>
      <c r="I233" s="1"/>
      <c r="J233" s="1"/>
      <c r="K233" s="1"/>
      <c r="L233" s="1"/>
      <c r="M233" s="1"/>
      <c r="N233" s="1"/>
      <c r="O233" s="1"/>
      <c r="P233" s="1"/>
      <c r="Q233" s="1"/>
      <c r="R233" s="15"/>
      <c r="S233" s="22"/>
      <c r="T233" s="16"/>
      <c r="U233" s="16"/>
      <c r="V233" s="16"/>
      <c r="W233" s="16"/>
      <c r="X233" s="16"/>
      <c r="Y233" s="16"/>
    </row>
    <row r="234" spans="1:25" ht="15.75" customHeight="1" x14ac:dyDescent="0.25">
      <c r="C234" s="11">
        <f t="shared" ref="C234:Q234" si="6">COUNTA(C4:C232)</f>
        <v>18</v>
      </c>
      <c r="D234" s="11">
        <f t="shared" si="6"/>
        <v>56</v>
      </c>
      <c r="E234" s="11">
        <f t="shared" si="6"/>
        <v>56</v>
      </c>
      <c r="F234" s="11">
        <f t="shared" si="6"/>
        <v>64</v>
      </c>
      <c r="G234" s="11">
        <f t="shared" si="6"/>
        <v>60</v>
      </c>
      <c r="H234" s="11">
        <f t="shared" si="6"/>
        <v>48</v>
      </c>
      <c r="I234" s="11">
        <f t="shared" si="6"/>
        <v>68</v>
      </c>
      <c r="J234" s="11">
        <f t="shared" si="6"/>
        <v>48</v>
      </c>
      <c r="K234" s="11">
        <f t="shared" si="6"/>
        <v>56</v>
      </c>
      <c r="L234" s="11">
        <f t="shared" si="6"/>
        <v>54</v>
      </c>
      <c r="M234" s="11">
        <f t="shared" si="6"/>
        <v>22</v>
      </c>
      <c r="N234" s="11">
        <f t="shared" si="6"/>
        <v>42</v>
      </c>
      <c r="O234" s="11">
        <f t="shared" si="6"/>
        <v>28</v>
      </c>
      <c r="P234" s="11">
        <f t="shared" si="6"/>
        <v>30</v>
      </c>
      <c r="Q234" s="11">
        <f t="shared" si="6"/>
        <v>14</v>
      </c>
      <c r="R234" s="20">
        <f>SUM(C234:P234)</f>
        <v>650</v>
      </c>
    </row>
    <row r="235" spans="1:25" ht="15.75" customHeight="1" x14ac:dyDescent="0.25">
      <c r="C235" s="1">
        <f t="shared" ref="C235:Q235" si="7">SUM(C4:C232)</f>
        <v>618</v>
      </c>
      <c r="D235" s="1">
        <f t="shared" si="7"/>
        <v>4632</v>
      </c>
      <c r="E235" s="1">
        <f t="shared" si="7"/>
        <v>2268</v>
      </c>
      <c r="F235" s="1">
        <f t="shared" si="7"/>
        <v>3618</v>
      </c>
      <c r="G235" s="1">
        <f t="shared" si="7"/>
        <v>9456</v>
      </c>
      <c r="H235" s="1">
        <f t="shared" si="7"/>
        <v>19482</v>
      </c>
      <c r="I235" s="1">
        <f t="shared" si="7"/>
        <v>1230</v>
      </c>
      <c r="J235" s="1">
        <f t="shared" si="7"/>
        <v>22200</v>
      </c>
      <c r="K235" s="1">
        <f t="shared" si="7"/>
        <v>10422</v>
      </c>
      <c r="L235" s="1">
        <f t="shared" si="7"/>
        <v>16044</v>
      </c>
      <c r="M235" s="1">
        <f t="shared" si="7"/>
        <v>2142</v>
      </c>
      <c r="N235" s="1">
        <f t="shared" si="7"/>
        <v>8592</v>
      </c>
      <c r="O235" s="1">
        <f t="shared" si="7"/>
        <v>16160</v>
      </c>
      <c r="P235" s="1">
        <f t="shared" si="7"/>
        <v>2610</v>
      </c>
      <c r="Q235" s="1">
        <f t="shared" si="7"/>
        <v>514</v>
      </c>
      <c r="R235" s="20">
        <f>SUM(C235:P235)</f>
        <v>119474</v>
      </c>
    </row>
    <row r="236" spans="1:25" ht="15.75" customHeight="1" x14ac:dyDescent="0.25"/>
    <row r="237" spans="1:25" ht="15.75" customHeight="1" x14ac:dyDescent="0.25"/>
    <row r="238" spans="1:25" ht="15.75" customHeight="1" x14ac:dyDescent="0.25"/>
    <row r="239" spans="1:25" ht="15.75" customHeight="1" x14ac:dyDescent="0.25"/>
    <row r="240" spans="1:25"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spans="3:17" ht="15.75" customHeight="1" x14ac:dyDescent="0.25"/>
    <row r="274" spans="3:17" ht="15.75" customHeight="1" x14ac:dyDescent="0.25"/>
    <row r="275" spans="3:17" ht="15.75" customHeight="1" x14ac:dyDescent="0.25"/>
    <row r="276" spans="3:17" ht="15.75" customHeight="1" x14ac:dyDescent="0.25"/>
    <row r="277" spans="3:17" ht="15.75" customHeight="1" x14ac:dyDescent="0.25"/>
    <row r="278" spans="3:17" ht="15.75" customHeight="1" x14ac:dyDescent="0.25">
      <c r="Q278" s="18"/>
    </row>
    <row r="279" spans="3:17" ht="15.75" customHeight="1" x14ac:dyDescent="0.25">
      <c r="Q279" s="11"/>
    </row>
    <row r="280" spans="3:17" ht="15.75" customHeight="1" x14ac:dyDescent="0.25">
      <c r="D280" s="18"/>
      <c r="E280" s="18"/>
      <c r="F280" s="18"/>
      <c r="G280" s="18"/>
      <c r="H280" s="18"/>
      <c r="I280" s="18"/>
      <c r="J280" s="18"/>
      <c r="K280" s="18"/>
      <c r="L280" s="18"/>
      <c r="M280" s="18"/>
      <c r="N280" s="18"/>
      <c r="O280" s="18"/>
      <c r="P280" s="18"/>
    </row>
    <row r="281" spans="3:17" ht="15.75" customHeight="1" x14ac:dyDescent="0.25">
      <c r="C281" s="11">
        <f t="shared" ref="C281:H281" si="8">COUNTA(C4:C279)</f>
        <v>20</v>
      </c>
      <c r="D281" s="11">
        <f t="shared" si="8"/>
        <v>58</v>
      </c>
      <c r="E281" s="11">
        <f t="shared" si="8"/>
        <v>58</v>
      </c>
      <c r="F281" s="11">
        <f t="shared" si="8"/>
        <v>66</v>
      </c>
      <c r="G281" s="11">
        <f t="shared" si="8"/>
        <v>62</v>
      </c>
      <c r="H281" s="11">
        <f t="shared" si="8"/>
        <v>50</v>
      </c>
      <c r="I281" s="11"/>
      <c r="J281" s="11">
        <f t="shared" ref="J281:P281" si="9">COUNTA(J4:J279)</f>
        <v>50</v>
      </c>
      <c r="K281" s="11">
        <f t="shared" si="9"/>
        <v>58</v>
      </c>
      <c r="L281" s="11">
        <f t="shared" si="9"/>
        <v>56</v>
      </c>
      <c r="M281" s="11">
        <f t="shared" si="9"/>
        <v>24</v>
      </c>
      <c r="N281" s="11">
        <f t="shared" si="9"/>
        <v>44</v>
      </c>
      <c r="O281" s="11">
        <f t="shared" si="9"/>
        <v>30</v>
      </c>
      <c r="P281" s="11">
        <f t="shared" si="9"/>
        <v>32</v>
      </c>
    </row>
    <row r="282" spans="3:17" ht="15.75" customHeight="1" x14ac:dyDescent="0.25">
      <c r="C282" s="11">
        <f t="shared" ref="C282:H282" si="10">SUM(C4:C279)</f>
        <v>1254</v>
      </c>
      <c r="D282" s="1">
        <f t="shared" si="10"/>
        <v>9320</v>
      </c>
      <c r="E282" s="1">
        <f t="shared" si="10"/>
        <v>4592</v>
      </c>
      <c r="F282" s="1">
        <f t="shared" si="10"/>
        <v>7300</v>
      </c>
      <c r="G282" s="1">
        <f t="shared" si="10"/>
        <v>18972</v>
      </c>
      <c r="H282" s="1">
        <f t="shared" si="10"/>
        <v>39012</v>
      </c>
      <c r="J282" s="1">
        <f t="shared" ref="J282:P282" si="11">SUM(J4:J279)</f>
        <v>44448</v>
      </c>
      <c r="K282" s="1">
        <f t="shared" si="11"/>
        <v>20900</v>
      </c>
      <c r="L282" s="1">
        <f t="shared" si="11"/>
        <v>32142</v>
      </c>
      <c r="M282" s="1">
        <f t="shared" si="11"/>
        <v>4306</v>
      </c>
      <c r="N282" s="1">
        <f t="shared" si="11"/>
        <v>17226</v>
      </c>
      <c r="O282" s="1">
        <f t="shared" si="11"/>
        <v>32348</v>
      </c>
      <c r="P282" s="1">
        <f t="shared" si="11"/>
        <v>5250</v>
      </c>
    </row>
    <row r="283" spans="3:17" ht="15.75" customHeight="1" x14ac:dyDescent="0.25"/>
    <row r="284" spans="3:17" ht="15.75" customHeight="1" x14ac:dyDescent="0.25"/>
    <row r="285" spans="3:17" ht="15.75" customHeight="1" x14ac:dyDescent="0.25"/>
    <row r="286" spans="3:17" ht="15.75" customHeight="1" x14ac:dyDescent="0.25"/>
    <row r="287" spans="3:17" ht="15.75" customHeight="1" x14ac:dyDescent="0.25"/>
    <row r="288" spans="3:17"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sheetData>
  <autoFilter ref="B2:B235" xr:uid="{00000000-0009-0000-0000-000001000000}"/>
  <mergeCells count="4">
    <mergeCell ref="A1:R1"/>
    <mergeCell ref="A2:B3"/>
    <mergeCell ref="R2:R3"/>
    <mergeCell ref="A233:C233"/>
  </mergeCells>
  <conditionalFormatting sqref="B2:B1048576">
    <cfRule type="duplicateValues" dxfId="18" priority="2"/>
    <cfRule type="duplicateValues" dxfId="17" priority="3"/>
    <cfRule type="duplicateValues" dxfId="16" priority="4"/>
    <cfRule type="duplicateValues" dxfId="15" priority="5"/>
    <cfRule type="duplicateValues" dxfId="14" priority="6"/>
  </conditionalFormatting>
  <conditionalFormatting sqref="B126:B132">
    <cfRule type="duplicateValues" dxfId="13" priority="7"/>
  </conditionalFormatting>
  <conditionalFormatting sqref="B4:B125 B133:B160">
    <cfRule type="duplicateValues" dxfId="12" priority="8"/>
  </conditionalFormatting>
  <printOptions horizontalCentered="1"/>
  <pageMargins left="0.23611111111111099" right="0.23611111111111099" top="0.94513888888888897" bottom="0.74791666666666701" header="0.511811023622047" footer="0"/>
  <pageSetup paperSize="9" scale="33" fitToHeight="0" orientation="portrait" horizontalDpi="300" verticalDpi="300" r:id="rId1"/>
  <headerFooter>
    <oddFooter>&amp;R&amp;D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1">
              <controlPr defaultSize="0" autoFill="0" autoPict="0" macro="Module1.SortAndRank" altText="Sort ">
                <anchor moveWithCells="1">
                  <from>
                    <xdr:col>18</xdr:col>
                    <xdr:colOff>38100</xdr:colOff>
                    <xdr:row>0</xdr:row>
                    <xdr:rowOff>85725</xdr:rowOff>
                  </from>
                  <to>
                    <xdr:col>19</xdr:col>
                    <xdr:colOff>152400</xdr:colOff>
                    <xdr:row>1</xdr:row>
                    <xdr:rowOff>-200025</xdr:rowOff>
                  </to>
                </anchor>
              </controlPr>
            </control>
          </mc:Choice>
        </mc:AlternateContent>
        <mc:AlternateContent xmlns:mc="http://schemas.openxmlformats.org/markup-compatibility/2006">
          <mc:Choice Requires="x14">
            <control shapeId="2053" r:id="rId5" name="Button 3">
              <controlPr defaultSize="0" autoFill="0" autoPict="0" macro="Module3.ExportToXLSX" altText="Export">
                <anchor moveWithCells="1">
                  <from>
                    <xdr:col>18</xdr:col>
                    <xdr:colOff>38100</xdr:colOff>
                    <xdr:row>0</xdr:row>
                    <xdr:rowOff>571500</xdr:rowOff>
                  </from>
                  <to>
                    <xdr:col>19</xdr:col>
                    <xdr:colOff>152400</xdr:colOff>
                    <xdr:row>1</xdr:row>
                    <xdr:rowOff>285750</xdr:rowOff>
                  </to>
                </anchor>
              </controlPr>
            </control>
          </mc:Choice>
        </mc:AlternateContent>
        <mc:AlternateContent xmlns:mc="http://schemas.openxmlformats.org/markup-compatibility/2006">
          <mc:Choice Requires="x14">
            <control shapeId="2054" r:id="rId6" name="Button 2">
              <controlPr defaultSize="0" autoFill="0" autoPict="0" macro="Module2.ClearData" altText="Clear ">
                <anchor moveWithCells="1">
                  <from>
                    <xdr:col>18</xdr:col>
                    <xdr:colOff>38100</xdr:colOff>
                    <xdr:row>1</xdr:row>
                    <xdr:rowOff>371475</xdr:rowOff>
                  </from>
                  <to>
                    <xdr:col>19</xdr:col>
                    <xdr:colOff>152400</xdr:colOff>
                    <xdr:row>2</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S282"/>
  <sheetViews>
    <sheetView view="pageBreakPreview" topLeftCell="I2" zoomScaleNormal="100" workbookViewId="0">
      <selection activeCell="S12" sqref="S12"/>
    </sheetView>
  </sheetViews>
  <sheetFormatPr defaultColWidth="9.140625" defaultRowHeight="15.75" x14ac:dyDescent="0.25"/>
  <cols>
    <col min="1" max="1" width="7.42578125" style="21" customWidth="1"/>
    <col min="2" max="2" width="50.7109375" style="21" customWidth="1"/>
    <col min="3" max="16" width="15.7109375" style="1" customWidth="1"/>
    <col min="17" max="17" width="14.85546875" style="27" customWidth="1"/>
    <col min="18" max="18" width="9.140625" style="27"/>
    <col min="19" max="19" width="13.5703125" style="27" customWidth="1"/>
    <col min="20" max="16384" width="9.140625" style="27"/>
  </cols>
  <sheetData>
    <row r="1" spans="1:19" hidden="1" x14ac:dyDescent="0.25">
      <c r="Q1" s="28"/>
    </row>
    <row r="2" spans="1:19" ht="67.5" customHeight="1" x14ac:dyDescent="0.25">
      <c r="A2" s="52" t="s">
        <v>1</v>
      </c>
      <c r="B2" s="52"/>
      <c r="C2" s="5" t="s">
        <v>2</v>
      </c>
      <c r="D2" s="5" t="s">
        <v>3</v>
      </c>
      <c r="E2" s="5" t="s">
        <v>4</v>
      </c>
      <c r="F2" s="5" t="s">
        <v>5</v>
      </c>
      <c r="G2" s="5" t="s">
        <v>6</v>
      </c>
      <c r="H2" s="5" t="s">
        <v>7</v>
      </c>
      <c r="I2" s="5" t="s">
        <v>8</v>
      </c>
      <c r="J2" s="5" t="s">
        <v>9</v>
      </c>
      <c r="K2" s="5" t="s">
        <v>10</v>
      </c>
      <c r="L2" s="5" t="s">
        <v>11</v>
      </c>
      <c r="M2" s="5" t="s">
        <v>12</v>
      </c>
      <c r="N2" s="5" t="s">
        <v>13</v>
      </c>
      <c r="O2" s="5" t="s">
        <v>14</v>
      </c>
      <c r="P2" s="5" t="s">
        <v>15</v>
      </c>
      <c r="Q2" s="29" t="s">
        <v>17</v>
      </c>
    </row>
    <row r="3" spans="1:19" ht="15.75" customHeight="1" x14ac:dyDescent="0.25">
      <c r="A3" s="52"/>
      <c r="B3" s="52"/>
      <c r="C3" s="6" t="s">
        <v>18</v>
      </c>
      <c r="D3" s="6" t="s">
        <v>19</v>
      </c>
      <c r="E3" s="6" t="s">
        <v>20</v>
      </c>
      <c r="F3" s="6" t="s">
        <v>21</v>
      </c>
      <c r="G3" s="6" t="s">
        <v>22</v>
      </c>
      <c r="H3" s="6" t="s">
        <v>23</v>
      </c>
      <c r="I3" s="6" t="s">
        <v>24</v>
      </c>
      <c r="J3" s="6" t="s">
        <v>25</v>
      </c>
      <c r="K3" s="6" t="s">
        <v>26</v>
      </c>
      <c r="L3" s="6" t="s">
        <v>27</v>
      </c>
      <c r="M3" s="6" t="s">
        <v>27</v>
      </c>
      <c r="N3" s="6" t="s">
        <v>28</v>
      </c>
      <c r="O3" s="6" t="s">
        <v>29</v>
      </c>
      <c r="P3" s="6" t="s">
        <v>29</v>
      </c>
      <c r="Q3" s="5"/>
    </row>
    <row r="4" spans="1:19" ht="21.75" customHeight="1" x14ac:dyDescent="0.25">
      <c r="A4" s="1">
        <v>1</v>
      </c>
      <c r="B4" s="21" t="s">
        <v>32</v>
      </c>
      <c r="D4" s="30"/>
      <c r="E4" s="1">
        <v>150</v>
      </c>
      <c r="F4" s="1">
        <v>100</v>
      </c>
      <c r="G4" s="1">
        <v>120</v>
      </c>
      <c r="H4" s="1">
        <v>500</v>
      </c>
      <c r="I4" s="1">
        <v>100</v>
      </c>
      <c r="J4" s="1">
        <v>162.5</v>
      </c>
      <c r="K4" s="1">
        <v>81.25</v>
      </c>
      <c r="L4" s="1">
        <v>207.5</v>
      </c>
      <c r="N4" s="1">
        <v>300</v>
      </c>
      <c r="O4" s="1">
        <v>900</v>
      </c>
      <c r="Q4" s="31">
        <f t="shared" ref="Q4:Q35" si="0">SUM(C4:P4)</f>
        <v>2621.25</v>
      </c>
      <c r="S4" s="32"/>
    </row>
    <row r="5" spans="1:19" ht="21.75" customHeight="1" x14ac:dyDescent="0.25">
      <c r="A5" s="1">
        <v>2</v>
      </c>
      <c r="B5" s="21" t="s">
        <v>31</v>
      </c>
      <c r="D5" s="30">
        <v>97.5</v>
      </c>
      <c r="E5" s="1">
        <v>150</v>
      </c>
      <c r="F5" s="1">
        <v>100</v>
      </c>
      <c r="G5" s="1">
        <v>120</v>
      </c>
      <c r="H5" s="1">
        <v>500</v>
      </c>
      <c r="I5" s="1">
        <v>100</v>
      </c>
      <c r="J5" s="1">
        <v>162.5</v>
      </c>
      <c r="K5" s="1">
        <v>81.25</v>
      </c>
      <c r="L5" s="1">
        <v>207.5</v>
      </c>
      <c r="N5" s="1">
        <v>300</v>
      </c>
      <c r="O5" s="1">
        <v>900</v>
      </c>
      <c r="Q5" s="31">
        <f t="shared" si="0"/>
        <v>2718.75</v>
      </c>
      <c r="S5" s="32"/>
    </row>
    <row r="6" spans="1:19" ht="21.75" customHeight="1" x14ac:dyDescent="0.25">
      <c r="A6" s="1">
        <v>3</v>
      </c>
      <c r="B6" s="21" t="s">
        <v>38</v>
      </c>
      <c r="C6" s="1">
        <v>100</v>
      </c>
      <c r="D6" s="1">
        <v>225</v>
      </c>
      <c r="F6" s="1">
        <v>150</v>
      </c>
      <c r="G6" s="1">
        <v>300</v>
      </c>
      <c r="J6" s="1">
        <v>300</v>
      </c>
      <c r="K6" s="1">
        <v>375</v>
      </c>
      <c r="L6" s="1">
        <v>525</v>
      </c>
      <c r="N6" s="1">
        <v>50</v>
      </c>
      <c r="O6" s="1">
        <v>240</v>
      </c>
      <c r="Q6" s="31">
        <f t="shared" si="0"/>
        <v>2265</v>
      </c>
      <c r="S6" s="32"/>
    </row>
    <row r="7" spans="1:19" ht="21.75" customHeight="1" x14ac:dyDescent="0.25">
      <c r="A7" s="1" t="s">
        <v>34</v>
      </c>
      <c r="B7" s="21" t="s">
        <v>39</v>
      </c>
      <c r="C7" s="1">
        <v>100</v>
      </c>
      <c r="D7" s="1">
        <v>225</v>
      </c>
      <c r="F7" s="1">
        <v>150</v>
      </c>
      <c r="G7" s="1">
        <v>300</v>
      </c>
      <c r="J7" s="1">
        <v>300</v>
      </c>
      <c r="K7" s="1">
        <v>375</v>
      </c>
      <c r="L7" s="1">
        <v>525</v>
      </c>
      <c r="N7" s="1">
        <v>50</v>
      </c>
      <c r="O7" s="1">
        <v>240</v>
      </c>
      <c r="Q7" s="31">
        <f t="shared" si="0"/>
        <v>2265</v>
      </c>
      <c r="S7" s="32"/>
    </row>
    <row r="8" spans="1:19" ht="21.75" customHeight="1" x14ac:dyDescent="0.25">
      <c r="A8" s="1">
        <v>5</v>
      </c>
      <c r="B8" s="21" t="s">
        <v>35</v>
      </c>
      <c r="D8" s="30"/>
      <c r="G8" s="1">
        <v>120</v>
      </c>
      <c r="H8" s="1">
        <v>750</v>
      </c>
      <c r="J8" s="1">
        <v>300</v>
      </c>
      <c r="K8" s="1">
        <v>250</v>
      </c>
      <c r="L8" s="1">
        <v>207.5</v>
      </c>
      <c r="O8" s="1">
        <v>600</v>
      </c>
      <c r="Q8" s="31">
        <f t="shared" si="0"/>
        <v>2227.5</v>
      </c>
      <c r="S8" s="32"/>
    </row>
    <row r="9" spans="1:19" ht="21.75" customHeight="1" x14ac:dyDescent="0.25">
      <c r="A9" s="1" t="s">
        <v>34</v>
      </c>
      <c r="B9" s="21" t="s">
        <v>33</v>
      </c>
      <c r="D9" s="30"/>
      <c r="G9" s="1">
        <v>120</v>
      </c>
      <c r="H9" s="1">
        <v>750</v>
      </c>
      <c r="J9" s="1">
        <v>300</v>
      </c>
      <c r="K9" s="1">
        <v>250</v>
      </c>
      <c r="L9" s="1">
        <v>207.5</v>
      </c>
      <c r="O9" s="1">
        <v>600</v>
      </c>
      <c r="Q9" s="31">
        <f t="shared" si="0"/>
        <v>2227.5</v>
      </c>
      <c r="S9" s="32"/>
    </row>
    <row r="10" spans="1:19" ht="21.75" customHeight="1" x14ac:dyDescent="0.25">
      <c r="A10" s="1">
        <v>7</v>
      </c>
      <c r="B10" s="21" t="s">
        <v>41</v>
      </c>
      <c r="C10" s="1">
        <v>25</v>
      </c>
      <c r="D10" s="30">
        <v>150</v>
      </c>
      <c r="E10" s="1">
        <v>62.5</v>
      </c>
      <c r="F10" s="1">
        <v>32.5</v>
      </c>
      <c r="G10" s="1">
        <v>65</v>
      </c>
      <c r="I10" s="1">
        <v>50</v>
      </c>
      <c r="J10" s="1">
        <v>750</v>
      </c>
      <c r="K10" s="1">
        <v>81.25</v>
      </c>
      <c r="L10" s="1">
        <v>115</v>
      </c>
      <c r="N10" s="1">
        <v>120</v>
      </c>
      <c r="O10" s="1">
        <v>420</v>
      </c>
      <c r="Q10" s="31">
        <f t="shared" si="0"/>
        <v>1871.25</v>
      </c>
      <c r="S10" s="32"/>
    </row>
    <row r="11" spans="1:19" ht="21.75" customHeight="1" x14ac:dyDescent="0.25">
      <c r="A11" s="1" t="s">
        <v>34</v>
      </c>
      <c r="B11" s="21" t="s">
        <v>42</v>
      </c>
      <c r="C11" s="1">
        <v>25</v>
      </c>
      <c r="D11" s="1">
        <v>150</v>
      </c>
      <c r="E11" s="1">
        <v>62.5</v>
      </c>
      <c r="F11" s="1">
        <v>32.5</v>
      </c>
      <c r="G11" s="1">
        <v>65</v>
      </c>
      <c r="I11" s="1">
        <v>50</v>
      </c>
      <c r="J11" s="1">
        <v>750</v>
      </c>
      <c r="K11" s="1">
        <v>81.25</v>
      </c>
      <c r="L11" s="1">
        <v>115</v>
      </c>
      <c r="N11" s="1">
        <v>120</v>
      </c>
      <c r="O11" s="1">
        <v>420</v>
      </c>
      <c r="Q11" s="31">
        <f t="shared" si="0"/>
        <v>1871.25</v>
      </c>
      <c r="S11" s="32"/>
    </row>
    <row r="12" spans="1:19" ht="21.75" customHeight="1" x14ac:dyDescent="0.25">
      <c r="A12" s="1">
        <v>9</v>
      </c>
      <c r="B12" s="21" t="s">
        <v>37</v>
      </c>
      <c r="C12" s="1">
        <v>50</v>
      </c>
      <c r="D12" s="1">
        <v>45</v>
      </c>
      <c r="E12" s="1">
        <v>100</v>
      </c>
      <c r="F12" s="1">
        <v>32.5</v>
      </c>
      <c r="G12" s="1">
        <v>65</v>
      </c>
      <c r="H12" s="1">
        <v>200</v>
      </c>
      <c r="J12" s="1">
        <v>162.5</v>
      </c>
      <c r="K12" s="1">
        <v>150</v>
      </c>
      <c r="L12" s="1">
        <v>350</v>
      </c>
      <c r="N12" s="1">
        <v>120</v>
      </c>
      <c r="O12" s="1">
        <v>300</v>
      </c>
      <c r="Q12" s="31">
        <f t="shared" si="0"/>
        <v>1575</v>
      </c>
      <c r="S12" s="32"/>
    </row>
    <row r="13" spans="1:19" ht="21.75" customHeight="1" x14ac:dyDescent="0.25">
      <c r="A13" s="1" t="s">
        <v>34</v>
      </c>
      <c r="B13" s="9" t="s">
        <v>36</v>
      </c>
      <c r="C13" s="1">
        <v>50</v>
      </c>
      <c r="D13" s="1">
        <v>45</v>
      </c>
      <c r="E13" s="1">
        <v>100</v>
      </c>
      <c r="F13" s="1">
        <v>32.5</v>
      </c>
      <c r="G13" s="1">
        <v>65</v>
      </c>
      <c r="H13" s="1">
        <v>200</v>
      </c>
      <c r="J13" s="1">
        <v>162.5</v>
      </c>
      <c r="K13" s="1">
        <v>150</v>
      </c>
      <c r="L13" s="1">
        <v>350</v>
      </c>
      <c r="N13" s="1">
        <v>120</v>
      </c>
      <c r="O13" s="1">
        <v>300</v>
      </c>
      <c r="Q13" s="31">
        <f t="shared" si="0"/>
        <v>1575</v>
      </c>
      <c r="S13" s="32"/>
    </row>
    <row r="14" spans="1:19" ht="21.75" customHeight="1" x14ac:dyDescent="0.25">
      <c r="A14" s="1">
        <v>11</v>
      </c>
      <c r="B14" s="21" t="s">
        <v>43</v>
      </c>
      <c r="D14" s="1">
        <v>45</v>
      </c>
      <c r="F14" s="1">
        <v>62.5</v>
      </c>
      <c r="G14" s="1">
        <v>200</v>
      </c>
      <c r="H14" s="1">
        <v>300</v>
      </c>
      <c r="J14" s="1">
        <v>162.5</v>
      </c>
      <c r="L14" s="1">
        <v>115</v>
      </c>
      <c r="N14" s="1">
        <v>200</v>
      </c>
      <c r="O14" s="1">
        <v>240</v>
      </c>
      <c r="Q14" s="31">
        <f t="shared" si="0"/>
        <v>1325</v>
      </c>
      <c r="S14" s="32"/>
    </row>
    <row r="15" spans="1:19" ht="21.75" customHeight="1" x14ac:dyDescent="0.25">
      <c r="A15" s="1" t="s">
        <v>34</v>
      </c>
      <c r="B15" s="21" t="s">
        <v>40</v>
      </c>
      <c r="D15" s="1">
        <v>45</v>
      </c>
      <c r="F15" s="1">
        <v>62.5</v>
      </c>
      <c r="G15" s="1">
        <v>200</v>
      </c>
      <c r="H15" s="1">
        <v>300</v>
      </c>
      <c r="J15" s="1">
        <v>162.5</v>
      </c>
      <c r="L15" s="1">
        <v>115</v>
      </c>
      <c r="N15" s="1">
        <v>200</v>
      </c>
      <c r="O15" s="1">
        <v>240</v>
      </c>
      <c r="Q15" s="31">
        <f t="shared" si="0"/>
        <v>1325</v>
      </c>
      <c r="S15" s="32"/>
    </row>
    <row r="16" spans="1:19" ht="21.75" customHeight="1" x14ac:dyDescent="0.25">
      <c r="A16" s="1">
        <v>13</v>
      </c>
      <c r="B16" s="21" t="s">
        <v>44</v>
      </c>
      <c r="D16" s="1">
        <v>45</v>
      </c>
      <c r="E16" s="1">
        <v>62.5</v>
      </c>
      <c r="F16" s="1">
        <v>62.5</v>
      </c>
      <c r="G16" s="1">
        <v>65</v>
      </c>
      <c r="H16" s="1">
        <v>300</v>
      </c>
      <c r="K16" s="1">
        <v>150</v>
      </c>
      <c r="L16" s="1">
        <v>115</v>
      </c>
      <c r="N16" s="1">
        <v>50</v>
      </c>
      <c r="O16" s="1">
        <v>150</v>
      </c>
      <c r="Q16" s="31">
        <f t="shared" si="0"/>
        <v>1000</v>
      </c>
      <c r="S16" s="32"/>
    </row>
    <row r="17" spans="1:19" ht="21.75" customHeight="1" x14ac:dyDescent="0.25">
      <c r="A17" s="1" t="s">
        <v>34</v>
      </c>
      <c r="B17" s="21" t="s">
        <v>45</v>
      </c>
      <c r="D17" s="1">
        <v>45</v>
      </c>
      <c r="E17" s="1">
        <v>62.5</v>
      </c>
      <c r="F17" s="1">
        <v>62.5</v>
      </c>
      <c r="G17" s="1">
        <v>65</v>
      </c>
      <c r="H17" s="1">
        <v>300</v>
      </c>
      <c r="K17" s="1">
        <v>150</v>
      </c>
      <c r="L17" s="1">
        <v>115</v>
      </c>
      <c r="N17" s="1">
        <v>50</v>
      </c>
      <c r="O17" s="1">
        <v>150</v>
      </c>
      <c r="Q17" s="31">
        <f t="shared" si="0"/>
        <v>1000</v>
      </c>
      <c r="S17" s="32"/>
    </row>
    <row r="18" spans="1:19" ht="21.75" customHeight="1" x14ac:dyDescent="0.25">
      <c r="A18" s="1">
        <v>15</v>
      </c>
      <c r="B18" s="21" t="s">
        <v>48</v>
      </c>
      <c r="D18" s="30"/>
      <c r="H18" s="1">
        <v>125</v>
      </c>
      <c r="I18" s="1">
        <v>25</v>
      </c>
      <c r="K18" s="1">
        <v>81.25</v>
      </c>
      <c r="L18" s="1">
        <v>115</v>
      </c>
      <c r="N18" s="1">
        <v>80</v>
      </c>
      <c r="O18" s="1">
        <v>150</v>
      </c>
      <c r="Q18" s="31">
        <f t="shared" si="0"/>
        <v>576.25</v>
      </c>
      <c r="S18" s="32"/>
    </row>
    <row r="19" spans="1:19" ht="21.75" customHeight="1" x14ac:dyDescent="0.25">
      <c r="A19" s="1" t="s">
        <v>34</v>
      </c>
      <c r="B19" s="21" t="s">
        <v>49</v>
      </c>
      <c r="D19" s="30"/>
      <c r="H19" s="1">
        <v>125</v>
      </c>
      <c r="I19" s="1">
        <v>25</v>
      </c>
      <c r="K19" s="1">
        <v>81.25</v>
      </c>
      <c r="L19" s="1">
        <v>115</v>
      </c>
      <c r="N19" s="1">
        <v>80</v>
      </c>
      <c r="O19" s="1">
        <v>150</v>
      </c>
      <c r="Q19" s="31">
        <f t="shared" si="0"/>
        <v>576.25</v>
      </c>
      <c r="S19" s="32"/>
    </row>
    <row r="20" spans="1:19" ht="21.75" customHeight="1" x14ac:dyDescent="0.25">
      <c r="A20" s="1">
        <v>17</v>
      </c>
      <c r="B20" s="21" t="s">
        <v>69</v>
      </c>
      <c r="J20" s="1">
        <v>500</v>
      </c>
      <c r="Q20" s="31">
        <f t="shared" si="0"/>
        <v>500</v>
      </c>
      <c r="S20" s="32"/>
    </row>
    <row r="21" spans="1:19" ht="21.75" customHeight="1" x14ac:dyDescent="0.25">
      <c r="A21" s="1" t="s">
        <v>34</v>
      </c>
      <c r="B21" s="21" t="s">
        <v>70</v>
      </c>
      <c r="J21" s="1">
        <v>500</v>
      </c>
      <c r="Q21" s="31">
        <f t="shared" si="0"/>
        <v>500</v>
      </c>
      <c r="S21" s="32"/>
    </row>
    <row r="22" spans="1:19" ht="21.75" customHeight="1" x14ac:dyDescent="0.25">
      <c r="A22" s="1">
        <v>19</v>
      </c>
      <c r="B22" s="21" t="s">
        <v>46</v>
      </c>
      <c r="D22" s="1">
        <v>45</v>
      </c>
      <c r="F22" s="1">
        <v>32.5</v>
      </c>
      <c r="G22" s="11">
        <v>65</v>
      </c>
      <c r="I22" s="1">
        <v>25</v>
      </c>
      <c r="J22" s="1">
        <v>162.5</v>
      </c>
      <c r="N22" s="1">
        <v>80</v>
      </c>
      <c r="Q22" s="31">
        <f t="shared" si="0"/>
        <v>410</v>
      </c>
      <c r="S22" s="32"/>
    </row>
    <row r="23" spans="1:19" ht="21.75" customHeight="1" x14ac:dyDescent="0.25">
      <c r="A23" s="1" t="s">
        <v>34</v>
      </c>
      <c r="B23" s="21" t="s">
        <v>47</v>
      </c>
      <c r="D23" s="1">
        <v>45</v>
      </c>
      <c r="F23" s="1">
        <v>32.5</v>
      </c>
      <c r="G23" s="1">
        <v>65</v>
      </c>
      <c r="I23" s="1">
        <v>25</v>
      </c>
      <c r="J23" s="1">
        <v>162.5</v>
      </c>
      <c r="N23" s="1">
        <v>80</v>
      </c>
      <c r="Q23" s="31">
        <f t="shared" si="0"/>
        <v>410</v>
      </c>
      <c r="S23" s="32"/>
    </row>
    <row r="24" spans="1:19" ht="21.75" customHeight="1" x14ac:dyDescent="0.25">
      <c r="A24" s="1">
        <v>21</v>
      </c>
      <c r="B24" s="21" t="s">
        <v>105</v>
      </c>
      <c r="M24" s="1">
        <v>150</v>
      </c>
      <c r="P24" s="1">
        <v>60</v>
      </c>
      <c r="Q24" s="31">
        <f t="shared" si="0"/>
        <v>210</v>
      </c>
      <c r="S24" s="32"/>
    </row>
    <row r="25" spans="1:19" ht="21.75" customHeight="1" x14ac:dyDescent="0.25">
      <c r="A25" s="1" t="s">
        <v>34</v>
      </c>
      <c r="B25" s="21" t="s">
        <v>106</v>
      </c>
      <c r="M25" s="1">
        <v>150</v>
      </c>
      <c r="P25" s="1">
        <v>60</v>
      </c>
      <c r="Q25" s="31">
        <f t="shared" si="0"/>
        <v>210</v>
      </c>
      <c r="S25" s="32"/>
    </row>
    <row r="26" spans="1:19" ht="21.75" customHeight="1" x14ac:dyDescent="0.25">
      <c r="A26" s="1">
        <v>23</v>
      </c>
      <c r="B26" s="21" t="s">
        <v>51</v>
      </c>
      <c r="C26" s="30"/>
      <c r="D26" s="30"/>
      <c r="H26" s="1">
        <v>200</v>
      </c>
      <c r="Q26" s="31">
        <f t="shared" si="0"/>
        <v>200</v>
      </c>
      <c r="S26" s="32"/>
    </row>
    <row r="27" spans="1:19" ht="21.75" customHeight="1" x14ac:dyDescent="0.25">
      <c r="A27" s="1" t="s">
        <v>34</v>
      </c>
      <c r="B27" s="21" t="s">
        <v>52</v>
      </c>
      <c r="C27" s="30"/>
      <c r="D27" s="30"/>
      <c r="H27" s="1">
        <v>200</v>
      </c>
      <c r="Q27" s="31">
        <f t="shared" si="0"/>
        <v>200</v>
      </c>
      <c r="S27" s="32"/>
    </row>
    <row r="28" spans="1:19" ht="21.75" customHeight="1" x14ac:dyDescent="0.25">
      <c r="A28" s="1">
        <v>25</v>
      </c>
      <c r="B28" s="21" t="s">
        <v>53</v>
      </c>
      <c r="D28" s="1">
        <v>97.5</v>
      </c>
      <c r="K28" s="1">
        <v>81.25</v>
      </c>
      <c r="Q28" s="31">
        <f t="shared" si="0"/>
        <v>178.75</v>
      </c>
      <c r="S28" s="32"/>
    </row>
    <row r="29" spans="1:19" ht="21.75" customHeight="1" x14ac:dyDescent="0.25">
      <c r="A29" s="1" t="s">
        <v>34</v>
      </c>
      <c r="B29" s="21" t="s">
        <v>50</v>
      </c>
      <c r="D29" s="1">
        <v>97.5</v>
      </c>
      <c r="K29" s="1">
        <v>81.25</v>
      </c>
      <c r="Q29" s="31">
        <f t="shared" si="0"/>
        <v>178.75</v>
      </c>
      <c r="S29" s="32"/>
    </row>
    <row r="30" spans="1:19" ht="21.75" customHeight="1" x14ac:dyDescent="0.25">
      <c r="A30" s="1">
        <v>27</v>
      </c>
      <c r="B30" s="21" t="s">
        <v>61</v>
      </c>
      <c r="P30" s="1">
        <v>150</v>
      </c>
      <c r="Q30" s="31">
        <f t="shared" si="0"/>
        <v>150</v>
      </c>
      <c r="S30" s="32"/>
    </row>
    <row r="31" spans="1:19" ht="21.75" customHeight="1" x14ac:dyDescent="0.25">
      <c r="A31" s="1" t="s">
        <v>34</v>
      </c>
      <c r="B31" s="21" t="s">
        <v>63</v>
      </c>
      <c r="P31" s="1">
        <v>150</v>
      </c>
      <c r="Q31" s="31">
        <f t="shared" si="0"/>
        <v>150</v>
      </c>
      <c r="S31" s="32"/>
    </row>
    <row r="32" spans="1:19" ht="21.75" customHeight="1" x14ac:dyDescent="0.25">
      <c r="A32" s="1">
        <v>29</v>
      </c>
      <c r="B32" s="21" t="s">
        <v>84</v>
      </c>
      <c r="D32" s="30"/>
      <c r="H32" s="1">
        <v>125</v>
      </c>
      <c r="Q32" s="31">
        <f t="shared" si="0"/>
        <v>125</v>
      </c>
      <c r="S32" s="32"/>
    </row>
    <row r="33" spans="1:19" ht="21.75" customHeight="1" x14ac:dyDescent="0.25">
      <c r="A33" s="1" t="s">
        <v>34</v>
      </c>
      <c r="B33" s="21" t="s">
        <v>89</v>
      </c>
      <c r="D33" s="30"/>
      <c r="H33" s="1">
        <v>125</v>
      </c>
      <c r="Q33" s="31">
        <f t="shared" si="0"/>
        <v>125</v>
      </c>
      <c r="S33" s="32"/>
    </row>
    <row r="34" spans="1:19" ht="21.75" customHeight="1" x14ac:dyDescent="0.25">
      <c r="A34" s="1">
        <v>31</v>
      </c>
      <c r="B34" s="21" t="s">
        <v>92</v>
      </c>
      <c r="P34" s="1">
        <v>100</v>
      </c>
      <c r="Q34" s="31">
        <f t="shared" si="0"/>
        <v>100</v>
      </c>
      <c r="S34" s="32"/>
    </row>
    <row r="35" spans="1:19" ht="21.75" customHeight="1" x14ac:dyDescent="0.25">
      <c r="A35" s="1" t="s">
        <v>34</v>
      </c>
      <c r="B35" s="21" t="s">
        <v>399</v>
      </c>
      <c r="P35" s="1">
        <v>100</v>
      </c>
      <c r="Q35" s="31">
        <f t="shared" si="0"/>
        <v>100</v>
      </c>
      <c r="S35" s="32"/>
    </row>
    <row r="36" spans="1:19" ht="21.75" customHeight="1" x14ac:dyDescent="0.25">
      <c r="A36" s="1" t="s">
        <v>34</v>
      </c>
      <c r="B36" s="21" t="s">
        <v>400</v>
      </c>
      <c r="M36" s="1">
        <v>60</v>
      </c>
      <c r="P36" s="1">
        <v>40</v>
      </c>
      <c r="Q36" s="31">
        <f t="shared" ref="Q36:Q67" si="1">SUM(C36:P36)</f>
        <v>100</v>
      </c>
      <c r="S36" s="32"/>
    </row>
    <row r="37" spans="1:19" ht="21.75" customHeight="1" x14ac:dyDescent="0.25">
      <c r="A37" s="1" t="s">
        <v>34</v>
      </c>
      <c r="B37" s="21" t="s">
        <v>113</v>
      </c>
      <c r="C37" s="30"/>
      <c r="D37" s="30"/>
      <c r="M37" s="1">
        <v>60</v>
      </c>
      <c r="P37" s="1">
        <v>40</v>
      </c>
      <c r="Q37" s="31">
        <f t="shared" si="1"/>
        <v>100</v>
      </c>
      <c r="S37" s="32"/>
    </row>
    <row r="38" spans="1:19" ht="21.75" customHeight="1" x14ac:dyDescent="0.25">
      <c r="A38" s="1" t="s">
        <v>34</v>
      </c>
      <c r="B38" s="21" t="s">
        <v>116</v>
      </c>
      <c r="D38" s="30"/>
      <c r="M38" s="1">
        <v>100</v>
      </c>
      <c r="Q38" s="31">
        <f t="shared" si="1"/>
        <v>100</v>
      </c>
      <c r="S38" s="32"/>
    </row>
    <row r="39" spans="1:19" ht="21.75" customHeight="1" x14ac:dyDescent="0.25">
      <c r="A39" s="1" t="s">
        <v>34</v>
      </c>
      <c r="B39" s="21" t="s">
        <v>129</v>
      </c>
      <c r="D39" s="30"/>
      <c r="M39" s="1">
        <v>100</v>
      </c>
      <c r="Q39" s="31">
        <f t="shared" si="1"/>
        <v>100</v>
      </c>
      <c r="S39" s="32"/>
    </row>
    <row r="40" spans="1:19" ht="21.75" customHeight="1" x14ac:dyDescent="0.25">
      <c r="A40" s="1">
        <v>37</v>
      </c>
      <c r="B40" s="21" t="s">
        <v>57</v>
      </c>
      <c r="D40" s="1">
        <v>97.5</v>
      </c>
      <c r="Q40" s="31">
        <f t="shared" si="1"/>
        <v>97.5</v>
      </c>
      <c r="S40" s="32"/>
    </row>
    <row r="41" spans="1:19" ht="21.75" customHeight="1" x14ac:dyDescent="0.25">
      <c r="A41" s="1">
        <v>38</v>
      </c>
      <c r="B41" s="21" t="s">
        <v>76</v>
      </c>
      <c r="C41" s="30"/>
      <c r="D41" s="30"/>
      <c r="M41" s="1">
        <v>40</v>
      </c>
      <c r="P41" s="1">
        <v>25</v>
      </c>
      <c r="Q41" s="31">
        <f t="shared" si="1"/>
        <v>65</v>
      </c>
      <c r="S41" s="32"/>
    </row>
    <row r="42" spans="1:19" ht="21.75" customHeight="1" x14ac:dyDescent="0.25">
      <c r="A42" s="1" t="s">
        <v>34</v>
      </c>
      <c r="B42" s="21" t="s">
        <v>103</v>
      </c>
      <c r="C42" s="30"/>
      <c r="D42" s="30"/>
      <c r="M42" s="1">
        <v>40</v>
      </c>
      <c r="P42" s="1">
        <v>25</v>
      </c>
      <c r="Q42" s="31">
        <f t="shared" si="1"/>
        <v>65</v>
      </c>
      <c r="S42" s="32"/>
    </row>
    <row r="43" spans="1:19" ht="21.75" customHeight="1" x14ac:dyDescent="0.25">
      <c r="A43" s="1">
        <v>40</v>
      </c>
      <c r="B43" s="21" t="s">
        <v>65</v>
      </c>
      <c r="P43" s="1">
        <v>60</v>
      </c>
      <c r="Q43" s="31">
        <f t="shared" si="1"/>
        <v>60</v>
      </c>
      <c r="S43" s="32"/>
    </row>
    <row r="44" spans="1:19" ht="21.75" customHeight="1" x14ac:dyDescent="0.25">
      <c r="A44" s="1" t="s">
        <v>34</v>
      </c>
      <c r="B44" s="21" t="s">
        <v>66</v>
      </c>
      <c r="P44" s="1">
        <v>60</v>
      </c>
      <c r="Q44" s="31">
        <f t="shared" si="1"/>
        <v>60</v>
      </c>
      <c r="S44" s="32"/>
    </row>
    <row r="45" spans="1:19" ht="21.75" customHeight="1" x14ac:dyDescent="0.25">
      <c r="A45" s="1" t="s">
        <v>34</v>
      </c>
      <c r="B45" s="21" t="s">
        <v>135</v>
      </c>
      <c r="D45" s="30"/>
      <c r="M45" s="1">
        <v>60</v>
      </c>
      <c r="Q45" s="31">
        <f t="shared" si="1"/>
        <v>60</v>
      </c>
      <c r="S45" s="32"/>
    </row>
    <row r="46" spans="1:19" ht="21.75" customHeight="1" x14ac:dyDescent="0.25">
      <c r="A46" s="1" t="s">
        <v>34</v>
      </c>
      <c r="B46" s="21" t="s">
        <v>101</v>
      </c>
      <c r="D46" s="30"/>
      <c r="E46" s="11"/>
      <c r="M46" s="1">
        <v>60</v>
      </c>
      <c r="Q46" s="31">
        <f t="shared" si="1"/>
        <v>60</v>
      </c>
      <c r="S46" s="32"/>
    </row>
    <row r="47" spans="1:19" ht="21.75" customHeight="1" x14ac:dyDescent="0.25">
      <c r="A47" s="1">
        <v>44</v>
      </c>
      <c r="B47" s="21" t="s">
        <v>150</v>
      </c>
      <c r="P47" s="1">
        <v>40</v>
      </c>
      <c r="Q47" s="31">
        <f t="shared" si="1"/>
        <v>40</v>
      </c>
      <c r="S47" s="32"/>
    </row>
    <row r="48" spans="1:19" ht="21.75" customHeight="1" x14ac:dyDescent="0.25">
      <c r="A48" s="1" t="s">
        <v>34</v>
      </c>
      <c r="B48" s="9" t="s">
        <v>130</v>
      </c>
      <c r="P48" s="1">
        <v>40</v>
      </c>
      <c r="Q48" s="31">
        <f t="shared" si="1"/>
        <v>40</v>
      </c>
      <c r="S48" s="32"/>
    </row>
    <row r="49" spans="1:19" ht="21.75" customHeight="1" x14ac:dyDescent="0.25">
      <c r="A49" s="1" t="s">
        <v>34</v>
      </c>
      <c r="B49" s="21" t="s">
        <v>151</v>
      </c>
      <c r="C49" s="30"/>
      <c r="D49" s="30"/>
      <c r="F49" s="11"/>
      <c r="M49" s="1">
        <v>40</v>
      </c>
      <c r="Q49" s="31">
        <f t="shared" si="1"/>
        <v>40</v>
      </c>
      <c r="S49" s="32"/>
    </row>
    <row r="50" spans="1:19" ht="21.75" customHeight="1" x14ac:dyDescent="0.25">
      <c r="A50" s="1" t="s">
        <v>34</v>
      </c>
      <c r="B50" s="21" t="s">
        <v>152</v>
      </c>
      <c r="M50" s="1">
        <v>40</v>
      </c>
      <c r="Q50" s="31">
        <f t="shared" si="1"/>
        <v>40</v>
      </c>
      <c r="S50" s="32"/>
    </row>
    <row r="51" spans="1:19" ht="21.75" customHeight="1" x14ac:dyDescent="0.25">
      <c r="A51" s="1">
        <v>48</v>
      </c>
      <c r="B51" s="21" t="s">
        <v>145</v>
      </c>
      <c r="F51" s="1">
        <v>32.5</v>
      </c>
      <c r="Q51" s="31">
        <f t="shared" si="1"/>
        <v>32.5</v>
      </c>
      <c r="S51" s="32"/>
    </row>
    <row r="52" spans="1:19" ht="21.75" customHeight="1" x14ac:dyDescent="0.25">
      <c r="A52" s="1" t="s">
        <v>34</v>
      </c>
      <c r="B52" s="21" t="s">
        <v>54</v>
      </c>
      <c r="C52" s="30"/>
      <c r="D52" s="30"/>
      <c r="F52" s="1">
        <v>32.5</v>
      </c>
      <c r="H52" s="11"/>
      <c r="I52" s="11"/>
      <c r="J52" s="11"/>
      <c r="K52" s="11"/>
      <c r="L52" s="11"/>
      <c r="M52" s="11"/>
      <c r="N52" s="11"/>
      <c r="O52" s="11"/>
      <c r="P52" s="11"/>
      <c r="Q52" s="31">
        <f t="shared" si="1"/>
        <v>32.5</v>
      </c>
      <c r="S52" s="32"/>
    </row>
    <row r="53" spans="1:19" ht="21.75" customHeight="1" x14ac:dyDescent="0.25">
      <c r="A53" s="1">
        <v>50</v>
      </c>
      <c r="B53" s="21" t="s">
        <v>64</v>
      </c>
      <c r="P53" s="1">
        <v>25</v>
      </c>
      <c r="Q53" s="31">
        <f t="shared" si="1"/>
        <v>25</v>
      </c>
      <c r="S53" s="32"/>
    </row>
    <row r="54" spans="1:19" ht="21.75" customHeight="1" x14ac:dyDescent="0.25">
      <c r="A54" s="1" t="s">
        <v>34</v>
      </c>
      <c r="B54" s="21" t="s">
        <v>62</v>
      </c>
      <c r="P54" s="1">
        <v>25</v>
      </c>
      <c r="Q54" s="31">
        <f t="shared" si="1"/>
        <v>25</v>
      </c>
      <c r="S54" s="32"/>
    </row>
    <row r="55" spans="1:19" ht="21.75" customHeight="1" x14ac:dyDescent="0.25">
      <c r="A55" s="1" t="s">
        <v>34</v>
      </c>
      <c r="B55" s="21" t="s">
        <v>153</v>
      </c>
      <c r="C55" s="30">
        <v>25</v>
      </c>
      <c r="D55" s="30"/>
      <c r="Q55" s="31">
        <f t="shared" si="1"/>
        <v>25</v>
      </c>
      <c r="S55" s="32"/>
    </row>
    <row r="56" spans="1:19" ht="21.75" customHeight="1" x14ac:dyDescent="0.25">
      <c r="A56" s="1" t="s">
        <v>34</v>
      </c>
      <c r="B56" s="21" t="s">
        <v>190</v>
      </c>
      <c r="C56" s="1">
        <v>25</v>
      </c>
      <c r="D56" s="30"/>
      <c r="Q56" s="31">
        <f t="shared" si="1"/>
        <v>25</v>
      </c>
      <c r="S56" s="32"/>
    </row>
    <row r="57" spans="1:19" ht="21.75" customHeight="1" x14ac:dyDescent="0.25">
      <c r="A57" s="1" t="s">
        <v>34</v>
      </c>
      <c r="B57" s="21" t="s">
        <v>72</v>
      </c>
      <c r="M57" s="1">
        <v>25</v>
      </c>
      <c r="Q57" s="31">
        <f t="shared" si="1"/>
        <v>25</v>
      </c>
      <c r="S57" s="32"/>
    </row>
    <row r="58" spans="1:19" ht="21.75" customHeight="1" x14ac:dyDescent="0.25">
      <c r="A58" s="1" t="s">
        <v>34</v>
      </c>
      <c r="B58" s="21" t="s">
        <v>98</v>
      </c>
      <c r="M58" s="1">
        <v>25</v>
      </c>
      <c r="Q58" s="31">
        <f t="shared" si="1"/>
        <v>25</v>
      </c>
      <c r="S58" s="32"/>
    </row>
    <row r="59" spans="1:19" ht="21.75" customHeight="1" x14ac:dyDescent="0.25">
      <c r="A59" s="1" t="s">
        <v>34</v>
      </c>
      <c r="B59" s="21" t="s">
        <v>68</v>
      </c>
      <c r="M59" s="1">
        <v>25</v>
      </c>
      <c r="Q59" s="31">
        <f t="shared" si="1"/>
        <v>25</v>
      </c>
      <c r="S59" s="32"/>
    </row>
    <row r="60" spans="1:19" ht="21.75" customHeight="1" x14ac:dyDescent="0.25">
      <c r="A60" s="1" t="s">
        <v>34</v>
      </c>
      <c r="B60" s="21" t="s">
        <v>121</v>
      </c>
      <c r="M60" s="1">
        <v>25</v>
      </c>
      <c r="Q60" s="31">
        <f t="shared" si="1"/>
        <v>25</v>
      </c>
      <c r="S60" s="32"/>
    </row>
    <row r="61" spans="1:19" ht="21.75" customHeight="1" x14ac:dyDescent="0.25">
      <c r="A61" s="1">
        <f t="shared" ref="A61:A76" si="2">IF(Q61=Q60,"-",R61)</f>
        <v>0</v>
      </c>
      <c r="Q61" s="31">
        <f t="shared" si="1"/>
        <v>0</v>
      </c>
      <c r="S61" s="32"/>
    </row>
    <row r="62" spans="1:19" ht="21.75" customHeight="1" x14ac:dyDescent="0.25">
      <c r="A62" s="1" t="str">
        <f t="shared" si="2"/>
        <v>-</v>
      </c>
      <c r="Q62" s="31">
        <f t="shared" si="1"/>
        <v>0</v>
      </c>
      <c r="S62" s="32"/>
    </row>
    <row r="63" spans="1:19" ht="21.75" customHeight="1" x14ac:dyDescent="0.25">
      <c r="A63" s="1" t="str">
        <f t="shared" si="2"/>
        <v>-</v>
      </c>
      <c r="Q63" s="31">
        <f t="shared" si="1"/>
        <v>0</v>
      </c>
      <c r="S63" s="32"/>
    </row>
    <row r="64" spans="1:19" ht="21.75" customHeight="1" x14ac:dyDescent="0.25">
      <c r="A64" s="1" t="str">
        <f t="shared" si="2"/>
        <v>-</v>
      </c>
      <c r="Q64" s="31">
        <f t="shared" si="1"/>
        <v>0</v>
      </c>
      <c r="S64" s="32"/>
    </row>
    <row r="65" spans="1:19" ht="21.75" customHeight="1" x14ac:dyDescent="0.25">
      <c r="A65" s="1" t="str">
        <f t="shared" si="2"/>
        <v>-</v>
      </c>
      <c r="Q65" s="31">
        <f t="shared" si="1"/>
        <v>0</v>
      </c>
      <c r="S65" s="32"/>
    </row>
    <row r="66" spans="1:19" ht="21.75" customHeight="1" x14ac:dyDescent="0.25">
      <c r="A66" s="1" t="str">
        <f t="shared" si="2"/>
        <v>-</v>
      </c>
      <c r="Q66" s="31">
        <f t="shared" si="1"/>
        <v>0</v>
      </c>
      <c r="S66" s="32"/>
    </row>
    <row r="67" spans="1:19" ht="21.75" customHeight="1" x14ac:dyDescent="0.25">
      <c r="A67" s="1" t="str">
        <f t="shared" si="2"/>
        <v>-</v>
      </c>
      <c r="Q67" s="31">
        <f t="shared" si="1"/>
        <v>0</v>
      </c>
      <c r="S67" s="32"/>
    </row>
    <row r="68" spans="1:19" ht="21.75" customHeight="1" x14ac:dyDescent="0.25">
      <c r="A68" s="1" t="str">
        <f t="shared" si="2"/>
        <v>-</v>
      </c>
      <c r="Q68" s="31">
        <f t="shared" ref="Q68:Q77" si="3">SUM(C68:P68)</f>
        <v>0</v>
      </c>
      <c r="S68" s="32"/>
    </row>
    <row r="69" spans="1:19" ht="21.75" customHeight="1" x14ac:dyDescent="0.25">
      <c r="A69" s="1" t="str">
        <f t="shared" si="2"/>
        <v>-</v>
      </c>
      <c r="Q69" s="31">
        <f t="shared" si="3"/>
        <v>0</v>
      </c>
      <c r="S69" s="32"/>
    </row>
    <row r="70" spans="1:19" ht="21.75" customHeight="1" x14ac:dyDescent="0.25">
      <c r="A70" s="1" t="str">
        <f t="shared" si="2"/>
        <v>-</v>
      </c>
      <c r="Q70" s="31">
        <f t="shared" si="3"/>
        <v>0</v>
      </c>
      <c r="S70" s="32"/>
    </row>
    <row r="71" spans="1:19" ht="21.75" customHeight="1" x14ac:dyDescent="0.25">
      <c r="A71" s="1" t="str">
        <f t="shared" si="2"/>
        <v>-</v>
      </c>
      <c r="Q71" s="31">
        <f t="shared" si="3"/>
        <v>0</v>
      </c>
      <c r="S71" s="32"/>
    </row>
    <row r="72" spans="1:19" ht="21.75" customHeight="1" x14ac:dyDescent="0.25">
      <c r="A72" s="1" t="str">
        <f t="shared" si="2"/>
        <v>-</v>
      </c>
      <c r="Q72" s="31">
        <f t="shared" si="3"/>
        <v>0</v>
      </c>
      <c r="S72" s="32"/>
    </row>
    <row r="73" spans="1:19" ht="21.75" customHeight="1" x14ac:dyDescent="0.25">
      <c r="A73" s="1" t="str">
        <f t="shared" si="2"/>
        <v>-</v>
      </c>
      <c r="Q73" s="31">
        <f t="shared" si="3"/>
        <v>0</v>
      </c>
      <c r="S73" s="32"/>
    </row>
    <row r="74" spans="1:19" ht="21.75" customHeight="1" x14ac:dyDescent="0.25">
      <c r="A74" s="1" t="str">
        <f t="shared" si="2"/>
        <v>-</v>
      </c>
      <c r="Q74" s="31">
        <f t="shared" si="3"/>
        <v>0</v>
      </c>
      <c r="S74" s="32"/>
    </row>
    <row r="75" spans="1:19" ht="21.75" customHeight="1" x14ac:dyDescent="0.25">
      <c r="A75" s="1" t="str">
        <f t="shared" si="2"/>
        <v>-</v>
      </c>
      <c r="Q75" s="31">
        <f t="shared" si="3"/>
        <v>0</v>
      </c>
      <c r="S75" s="32"/>
    </row>
    <row r="76" spans="1:19" ht="21.75" customHeight="1" x14ac:dyDescent="0.25">
      <c r="A76" s="1" t="str">
        <f t="shared" si="2"/>
        <v>-</v>
      </c>
      <c r="Q76" s="31">
        <f t="shared" si="3"/>
        <v>0</v>
      </c>
      <c r="S76" s="32"/>
    </row>
    <row r="77" spans="1:19" ht="21.75" customHeight="1" x14ac:dyDescent="0.25">
      <c r="A77" s="1"/>
      <c r="C77" s="1">
        <f t="shared" ref="C77:P77" si="4">COUNTA(C4:C76)</f>
        <v>8</v>
      </c>
      <c r="D77" s="11">
        <f t="shared" si="4"/>
        <v>16</v>
      </c>
      <c r="E77" s="11">
        <f t="shared" si="4"/>
        <v>8</v>
      </c>
      <c r="F77" s="1">
        <f t="shared" si="4"/>
        <v>16</v>
      </c>
      <c r="G77" s="1">
        <f t="shared" si="4"/>
        <v>16</v>
      </c>
      <c r="H77" s="1">
        <f t="shared" si="4"/>
        <v>16</v>
      </c>
      <c r="I77" s="1">
        <f t="shared" si="4"/>
        <v>8</v>
      </c>
      <c r="J77" s="1">
        <f t="shared" si="4"/>
        <v>16</v>
      </c>
      <c r="K77" s="1">
        <f t="shared" si="4"/>
        <v>16</v>
      </c>
      <c r="L77" s="1">
        <f t="shared" si="4"/>
        <v>16</v>
      </c>
      <c r="M77" s="1">
        <f t="shared" si="4"/>
        <v>16</v>
      </c>
      <c r="N77" s="1">
        <f t="shared" si="4"/>
        <v>16</v>
      </c>
      <c r="O77" s="1">
        <f t="shared" si="4"/>
        <v>16</v>
      </c>
      <c r="P77" s="1">
        <f t="shared" si="4"/>
        <v>16</v>
      </c>
      <c r="Q77" s="31">
        <f t="shared" si="3"/>
        <v>200</v>
      </c>
      <c r="S77" s="32"/>
    </row>
    <row r="78" spans="1:19" ht="21.75" customHeight="1" x14ac:dyDescent="0.25">
      <c r="A78" s="1"/>
      <c r="C78" s="1">
        <f t="shared" ref="C78:Q78" si="5">SUM(C4:C76)</f>
        <v>400</v>
      </c>
      <c r="D78" s="1">
        <f t="shared" si="5"/>
        <v>1500</v>
      </c>
      <c r="E78" s="1">
        <f t="shared" si="5"/>
        <v>750</v>
      </c>
      <c r="F78" s="1">
        <f t="shared" si="5"/>
        <v>1010</v>
      </c>
      <c r="G78" s="1">
        <f t="shared" si="5"/>
        <v>2000</v>
      </c>
      <c r="H78" s="1">
        <f t="shared" si="5"/>
        <v>5000</v>
      </c>
      <c r="I78" s="1">
        <f t="shared" si="5"/>
        <v>400</v>
      </c>
      <c r="J78" s="1">
        <f t="shared" si="5"/>
        <v>5000</v>
      </c>
      <c r="K78" s="1">
        <f t="shared" si="5"/>
        <v>2500</v>
      </c>
      <c r="L78" s="1">
        <f t="shared" si="5"/>
        <v>3500</v>
      </c>
      <c r="M78" s="1">
        <f t="shared" si="5"/>
        <v>1000</v>
      </c>
      <c r="N78" s="1">
        <f t="shared" si="5"/>
        <v>2000</v>
      </c>
      <c r="O78" s="1">
        <f t="shared" si="5"/>
        <v>6000</v>
      </c>
      <c r="P78" s="1">
        <f t="shared" si="5"/>
        <v>1000</v>
      </c>
      <c r="Q78" s="31">
        <f t="shared" si="5"/>
        <v>32060</v>
      </c>
      <c r="S78" s="32"/>
    </row>
    <row r="79" spans="1:19" ht="21.75" customHeight="1" x14ac:dyDescent="0.25">
      <c r="A79" s="1"/>
      <c r="Q79" s="31"/>
      <c r="S79" s="32"/>
    </row>
    <row r="80" spans="1:19" ht="21.75" customHeight="1" x14ac:dyDescent="0.25">
      <c r="A80" s="1"/>
      <c r="Q80" s="31"/>
      <c r="S80" s="32"/>
    </row>
    <row r="81" spans="1:19" ht="21.75" customHeight="1" x14ac:dyDescent="0.25">
      <c r="A81" s="1"/>
      <c r="Q81" s="31"/>
      <c r="S81" s="32"/>
    </row>
    <row r="82" spans="1:19" ht="21.75" customHeight="1" x14ac:dyDescent="0.25">
      <c r="A82" s="1"/>
      <c r="D82" s="18"/>
      <c r="Q82" s="31"/>
      <c r="S82" s="32"/>
    </row>
    <row r="83" spans="1:19" ht="15.75" customHeight="1" x14ac:dyDescent="0.25">
      <c r="C83" s="11"/>
      <c r="D83" s="11"/>
      <c r="E83" s="11"/>
      <c r="F83" s="11"/>
      <c r="G83" s="11"/>
      <c r="H83" s="11"/>
      <c r="I83" s="11"/>
      <c r="J83" s="11"/>
      <c r="K83" s="11"/>
      <c r="L83" s="11"/>
      <c r="M83" s="11"/>
      <c r="N83" s="11"/>
      <c r="O83" s="11"/>
      <c r="P83" s="11"/>
      <c r="Q83" s="11"/>
    </row>
    <row r="84" spans="1:19" ht="15.75" customHeight="1" x14ac:dyDescent="0.25">
      <c r="Q84" s="31"/>
    </row>
    <row r="85" spans="1:19" ht="15.75" customHeight="1" x14ac:dyDescent="0.25">
      <c r="Q85" s="31"/>
    </row>
    <row r="86" spans="1:19" ht="15.75" customHeight="1" x14ac:dyDescent="0.25">
      <c r="Q86" s="31"/>
    </row>
    <row r="87" spans="1:19" ht="15.75" customHeight="1" x14ac:dyDescent="0.25">
      <c r="C87" s="18"/>
      <c r="Q87" s="31"/>
    </row>
    <row r="88" spans="1:19" ht="15.75" customHeight="1" x14ac:dyDescent="0.25">
      <c r="C88" s="11"/>
      <c r="Q88" s="31"/>
    </row>
    <row r="234" spans="7:16" ht="15.75" customHeight="1" x14ac:dyDescent="0.25">
      <c r="G234" s="11">
        <f t="shared" ref="G234:P234" si="6">COUNTA(G4:G232)</f>
        <v>18</v>
      </c>
      <c r="H234" s="11">
        <f t="shared" si="6"/>
        <v>18</v>
      </c>
      <c r="I234" s="11">
        <f t="shared" si="6"/>
        <v>10</v>
      </c>
      <c r="J234" s="11">
        <f t="shared" si="6"/>
        <v>18</v>
      </c>
      <c r="K234" s="11">
        <f t="shared" si="6"/>
        <v>18</v>
      </c>
      <c r="L234" s="11">
        <f t="shared" si="6"/>
        <v>18</v>
      </c>
      <c r="M234" s="11">
        <f t="shared" si="6"/>
        <v>18</v>
      </c>
      <c r="N234" s="11">
        <f t="shared" si="6"/>
        <v>18</v>
      </c>
      <c r="O234" s="11">
        <f t="shared" si="6"/>
        <v>18</v>
      </c>
      <c r="P234" s="11">
        <f t="shared" si="6"/>
        <v>18</v>
      </c>
    </row>
    <row r="235" spans="7:16" ht="15.75" customHeight="1" x14ac:dyDescent="0.25">
      <c r="G235" s="1">
        <f t="shared" ref="G235:P235" si="7">SUM(G4:G232)</f>
        <v>4016</v>
      </c>
      <c r="H235" s="1">
        <f t="shared" si="7"/>
        <v>10016</v>
      </c>
      <c r="I235" s="1">
        <f t="shared" si="7"/>
        <v>808</v>
      </c>
      <c r="J235" s="1">
        <f t="shared" si="7"/>
        <v>10016</v>
      </c>
      <c r="K235" s="1">
        <f t="shared" si="7"/>
        <v>5016</v>
      </c>
      <c r="L235" s="1">
        <f t="shared" si="7"/>
        <v>7016</v>
      </c>
      <c r="M235" s="1">
        <f t="shared" si="7"/>
        <v>2016</v>
      </c>
      <c r="N235" s="1">
        <f t="shared" si="7"/>
        <v>4016</v>
      </c>
      <c r="O235" s="1">
        <f t="shared" si="7"/>
        <v>12016</v>
      </c>
      <c r="P235" s="1">
        <f t="shared" si="7"/>
        <v>2016</v>
      </c>
    </row>
    <row r="280" spans="5:16" ht="15.75" customHeight="1" x14ac:dyDescent="0.25">
      <c r="E280" s="18"/>
      <c r="F280" s="18"/>
      <c r="G280" s="18"/>
      <c r="H280" s="18"/>
      <c r="I280" s="18"/>
      <c r="J280" s="18"/>
      <c r="K280" s="18"/>
      <c r="L280" s="18"/>
      <c r="M280" s="18"/>
      <c r="N280" s="18"/>
      <c r="O280" s="18"/>
      <c r="P280" s="18"/>
    </row>
    <row r="281" spans="5:16" ht="15.75" customHeight="1" x14ac:dyDescent="0.25">
      <c r="E281" s="11">
        <f t="shared" ref="E281:P281" si="8">COUNTA(E4:E279)</f>
        <v>10</v>
      </c>
      <c r="F281" s="11">
        <f t="shared" si="8"/>
        <v>18</v>
      </c>
      <c r="G281" s="11">
        <f t="shared" si="8"/>
        <v>20</v>
      </c>
      <c r="H281" s="11">
        <f t="shared" si="8"/>
        <v>20</v>
      </c>
      <c r="I281" s="11">
        <f t="shared" si="8"/>
        <v>12</v>
      </c>
      <c r="J281" s="11">
        <f t="shared" si="8"/>
        <v>20</v>
      </c>
      <c r="K281" s="11">
        <f t="shared" si="8"/>
        <v>20</v>
      </c>
      <c r="L281" s="11">
        <f t="shared" si="8"/>
        <v>20</v>
      </c>
      <c r="M281" s="11">
        <f t="shared" si="8"/>
        <v>20</v>
      </c>
      <c r="N281" s="11">
        <f t="shared" si="8"/>
        <v>20</v>
      </c>
      <c r="O281" s="11">
        <f t="shared" si="8"/>
        <v>20</v>
      </c>
      <c r="P281" s="11">
        <f t="shared" si="8"/>
        <v>20</v>
      </c>
    </row>
    <row r="282" spans="5:16" ht="15.75" customHeight="1" x14ac:dyDescent="0.25">
      <c r="E282" s="1">
        <f>SUM(E4:E96)</f>
        <v>1508</v>
      </c>
      <c r="F282" s="1">
        <f>SUM(F4:F96)</f>
        <v>2036</v>
      </c>
      <c r="G282" s="1">
        <f t="shared" ref="G282:P282" si="9">SUM(G4:G278)</f>
        <v>8050</v>
      </c>
      <c r="H282" s="1">
        <f t="shared" si="9"/>
        <v>20050</v>
      </c>
      <c r="I282" s="1">
        <f t="shared" si="9"/>
        <v>1626</v>
      </c>
      <c r="J282" s="1">
        <f t="shared" si="9"/>
        <v>20050</v>
      </c>
      <c r="K282" s="1">
        <f t="shared" si="9"/>
        <v>10050</v>
      </c>
      <c r="L282" s="1">
        <f t="shared" si="9"/>
        <v>14050</v>
      </c>
      <c r="M282" s="1">
        <f t="shared" si="9"/>
        <v>4050</v>
      </c>
      <c r="N282" s="1">
        <f t="shared" si="9"/>
        <v>8050</v>
      </c>
      <c r="O282" s="1">
        <f t="shared" si="9"/>
        <v>24050</v>
      </c>
      <c r="P282" s="1">
        <f t="shared" si="9"/>
        <v>4050</v>
      </c>
    </row>
  </sheetData>
  <autoFilter ref="B2:B282" xr:uid="{00000000-0009-0000-0000-000002000000}"/>
  <mergeCells count="1">
    <mergeCell ref="A2:B3"/>
  </mergeCells>
  <conditionalFormatting sqref="B1:B1048576">
    <cfRule type="duplicateValues" dxfId="11" priority="2"/>
    <cfRule type="duplicateValues" dxfId="10" priority="3"/>
  </conditionalFormatting>
  <conditionalFormatting sqref="S1:S1048576">
    <cfRule type="cellIs" dxfId="9" priority="4" operator="lessThan">
      <formula>0</formula>
    </cfRule>
  </conditionalFormatting>
  <conditionalFormatting sqref="B4:B82">
    <cfRule type="duplicateValues" dxfId="8" priority="5"/>
  </conditionalFormatting>
  <pageMargins left="0.70833333333333304" right="0.70833333333333304" top="0.94513888888888897" bottom="0.74791666666666701" header="0.511811023622047" footer="0.511811023622047"/>
  <pageSetup paperSize="9" scale="33"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6" r:id="rId4" name="Button 1">
              <controlPr defaultSize="0" autoFill="0" autoPict="0" macro="Module1.SortAndRank" altText="Sort ">
                <anchor moveWithCells="1">
                  <from>
                    <xdr:col>17</xdr:col>
                    <xdr:colOff>66675</xdr:colOff>
                    <xdr:row>1</xdr:row>
                    <xdr:rowOff>76200</xdr:rowOff>
                  </from>
                  <to>
                    <xdr:col>18</xdr:col>
                    <xdr:colOff>180975</xdr:colOff>
                    <xdr:row>2</xdr:row>
                    <xdr:rowOff>-419100</xdr:rowOff>
                  </to>
                </anchor>
              </controlPr>
            </control>
          </mc:Choice>
        </mc:AlternateContent>
        <mc:AlternateContent xmlns:mc="http://schemas.openxmlformats.org/markup-compatibility/2006">
          <mc:Choice Requires="x14">
            <control shapeId="3077" r:id="rId5" name="Button 3">
              <controlPr defaultSize="0" autoFill="0" autoPict="0" macro="Module3.ExportToXLSX" altText="Export">
                <anchor moveWithCells="1">
                  <from>
                    <xdr:col>17</xdr:col>
                    <xdr:colOff>66675</xdr:colOff>
                    <xdr:row>1</xdr:row>
                    <xdr:rowOff>561975</xdr:rowOff>
                  </from>
                  <to>
                    <xdr:col>18</xdr:col>
                    <xdr:colOff>180975</xdr:colOff>
                    <xdr:row>2</xdr:row>
                    <xdr:rowOff>66675</xdr:rowOff>
                  </to>
                </anchor>
              </controlPr>
            </control>
          </mc:Choice>
        </mc:AlternateContent>
        <mc:AlternateContent xmlns:mc="http://schemas.openxmlformats.org/markup-compatibility/2006">
          <mc:Choice Requires="x14">
            <control shapeId="3078" r:id="rId6" name="Button 2">
              <controlPr defaultSize="0" autoFill="0" autoPict="0" macro="Module2.ClearData" altText="Clear ">
                <anchor moveWithCells="1">
                  <from>
                    <xdr:col>17</xdr:col>
                    <xdr:colOff>66675</xdr:colOff>
                    <xdr:row>2</xdr:row>
                    <xdr:rowOff>152400</xdr:rowOff>
                  </from>
                  <to>
                    <xdr:col>18</xdr:col>
                    <xdr:colOff>180975</xdr:colOff>
                    <xdr:row>4</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282"/>
  <sheetViews>
    <sheetView view="pageBreakPreview" topLeftCell="J2" zoomScaleNormal="100" workbookViewId="0">
      <selection activeCell="S10" sqref="S10"/>
    </sheetView>
  </sheetViews>
  <sheetFormatPr defaultColWidth="9.140625" defaultRowHeight="15.75" x14ac:dyDescent="0.25"/>
  <cols>
    <col min="1" max="1" width="7.42578125" style="21" customWidth="1"/>
    <col min="2" max="2" width="50.7109375" style="21" customWidth="1"/>
    <col min="3" max="16" width="15.7109375" style="1" customWidth="1"/>
    <col min="17" max="17" width="14.85546875" style="27" customWidth="1"/>
    <col min="18" max="18" width="9.140625" style="27"/>
    <col min="19" max="19" width="13.5703125" style="27" customWidth="1"/>
    <col min="20" max="16384" width="9.140625" style="27"/>
  </cols>
  <sheetData>
    <row r="1" spans="1:19" hidden="1" x14ac:dyDescent="0.25">
      <c r="Q1" s="28"/>
    </row>
    <row r="2" spans="1:19" ht="67.5" customHeight="1" x14ac:dyDescent="0.25">
      <c r="A2" s="52" t="s">
        <v>232</v>
      </c>
      <c r="B2" s="52"/>
      <c r="C2" s="5" t="s">
        <v>2</v>
      </c>
      <c r="D2" s="5" t="s">
        <v>3</v>
      </c>
      <c r="E2" s="5" t="s">
        <v>4</v>
      </c>
      <c r="F2" s="5" t="s">
        <v>5</v>
      </c>
      <c r="G2" s="5" t="s">
        <v>6</v>
      </c>
      <c r="H2" s="5" t="s">
        <v>7</v>
      </c>
      <c r="I2" s="5" t="s">
        <v>8</v>
      </c>
      <c r="J2" s="5" t="s">
        <v>9</v>
      </c>
      <c r="K2" s="5" t="s">
        <v>10</v>
      </c>
      <c r="L2" s="5" t="s">
        <v>11</v>
      </c>
      <c r="M2" s="5" t="s">
        <v>12</v>
      </c>
      <c r="N2" s="5" t="s">
        <v>13</v>
      </c>
      <c r="O2" s="5" t="s">
        <v>14</v>
      </c>
      <c r="P2" s="5" t="s">
        <v>15</v>
      </c>
      <c r="Q2" s="29" t="s">
        <v>17</v>
      </c>
    </row>
    <row r="3" spans="1:19" ht="15.75" customHeight="1" x14ac:dyDescent="0.25">
      <c r="A3" s="52"/>
      <c r="B3" s="52"/>
      <c r="C3" s="6" t="s">
        <v>18</v>
      </c>
      <c r="D3" s="6" t="s">
        <v>19</v>
      </c>
      <c r="E3" s="6" t="s">
        <v>20</v>
      </c>
      <c r="F3" s="6" t="s">
        <v>21</v>
      </c>
      <c r="G3" s="6" t="s">
        <v>22</v>
      </c>
      <c r="H3" s="6" t="s">
        <v>23</v>
      </c>
      <c r="I3" s="6" t="s">
        <v>24</v>
      </c>
      <c r="J3" s="6" t="s">
        <v>25</v>
      </c>
      <c r="K3" s="6" t="s">
        <v>26</v>
      </c>
      <c r="L3" s="6" t="s">
        <v>27</v>
      </c>
      <c r="M3" s="6" t="s">
        <v>27</v>
      </c>
      <c r="N3" s="6" t="s">
        <v>28</v>
      </c>
      <c r="O3" s="6" t="s">
        <v>29</v>
      </c>
      <c r="P3" s="6" t="s">
        <v>29</v>
      </c>
      <c r="Q3" s="5"/>
    </row>
    <row r="4" spans="1:19" ht="21.75" customHeight="1" x14ac:dyDescent="0.25">
      <c r="A4" s="1">
        <v>1</v>
      </c>
      <c r="B4" s="21" t="s">
        <v>240</v>
      </c>
      <c r="D4" s="30">
        <v>225</v>
      </c>
      <c r="F4" s="1">
        <v>32.5</v>
      </c>
      <c r="J4" s="1">
        <v>750</v>
      </c>
      <c r="L4" s="1">
        <v>525</v>
      </c>
      <c r="N4" s="1">
        <v>300</v>
      </c>
      <c r="O4" s="1">
        <v>420</v>
      </c>
      <c r="Q4" s="31">
        <f t="shared" ref="Q4:Q35" si="0">SUM(C4:P4)</f>
        <v>2252.5</v>
      </c>
      <c r="S4" s="32"/>
    </row>
    <row r="5" spans="1:19" ht="21.75" customHeight="1" x14ac:dyDescent="0.25">
      <c r="A5" s="1" t="s">
        <v>34</v>
      </c>
      <c r="B5" s="21" t="s">
        <v>241</v>
      </c>
      <c r="D5" s="30">
        <v>225</v>
      </c>
      <c r="F5" s="1">
        <v>32.5</v>
      </c>
      <c r="J5" s="1">
        <v>750</v>
      </c>
      <c r="L5" s="1">
        <v>525</v>
      </c>
      <c r="N5" s="1">
        <v>300</v>
      </c>
      <c r="O5" s="1">
        <v>420</v>
      </c>
      <c r="Q5" s="31">
        <f t="shared" si="0"/>
        <v>2252.5</v>
      </c>
      <c r="S5" s="32"/>
    </row>
    <row r="6" spans="1:19" ht="21.75" customHeight="1" x14ac:dyDescent="0.25">
      <c r="A6" s="1">
        <v>3</v>
      </c>
      <c r="B6" s="21" t="s">
        <v>235</v>
      </c>
      <c r="F6" s="1">
        <v>62.5</v>
      </c>
      <c r="G6" s="11">
        <v>120</v>
      </c>
      <c r="J6" s="1">
        <v>162.5</v>
      </c>
      <c r="K6" s="1">
        <v>375</v>
      </c>
      <c r="L6" s="1">
        <v>207.5</v>
      </c>
      <c r="N6" s="1">
        <v>200</v>
      </c>
      <c r="O6" s="1">
        <v>900</v>
      </c>
      <c r="Q6" s="31">
        <f t="shared" si="0"/>
        <v>2027.5</v>
      </c>
      <c r="S6" s="32"/>
    </row>
    <row r="7" spans="1:19" ht="21.75" customHeight="1" x14ac:dyDescent="0.25">
      <c r="A7" s="1">
        <v>4</v>
      </c>
      <c r="B7" s="21" t="s">
        <v>243</v>
      </c>
      <c r="F7" s="1">
        <v>62.5</v>
      </c>
      <c r="G7" s="1">
        <v>120</v>
      </c>
      <c r="J7" s="1">
        <v>162.5</v>
      </c>
      <c r="K7" s="1">
        <v>375</v>
      </c>
      <c r="L7" s="1">
        <v>207.5</v>
      </c>
      <c r="O7" s="1">
        <v>900</v>
      </c>
      <c r="Q7" s="31">
        <f t="shared" si="0"/>
        <v>1827.5</v>
      </c>
      <c r="S7" s="32"/>
    </row>
    <row r="8" spans="1:19" ht="21.75" customHeight="1" x14ac:dyDescent="0.25">
      <c r="A8" s="1">
        <v>5</v>
      </c>
      <c r="B8" s="21" t="s">
        <v>234</v>
      </c>
      <c r="D8" s="30">
        <v>150</v>
      </c>
      <c r="E8" s="1">
        <v>100</v>
      </c>
      <c r="F8" s="1">
        <v>62.5</v>
      </c>
      <c r="G8" s="1">
        <v>65</v>
      </c>
      <c r="H8" s="1">
        <v>500</v>
      </c>
      <c r="J8" s="1">
        <v>162.5</v>
      </c>
      <c r="K8" s="1">
        <v>150</v>
      </c>
      <c r="L8" s="1">
        <v>115</v>
      </c>
      <c r="N8" s="1">
        <v>80</v>
      </c>
      <c r="O8" s="1">
        <v>240</v>
      </c>
      <c r="Q8" s="31">
        <f t="shared" si="0"/>
        <v>1625</v>
      </c>
      <c r="S8" s="32"/>
    </row>
    <row r="9" spans="1:19" ht="21.75" customHeight="1" x14ac:dyDescent="0.25">
      <c r="A9" s="1" t="s">
        <v>34</v>
      </c>
      <c r="B9" s="21" t="s">
        <v>233</v>
      </c>
      <c r="D9" s="30">
        <v>150</v>
      </c>
      <c r="E9" s="1">
        <v>100</v>
      </c>
      <c r="F9" s="1">
        <v>62.5</v>
      </c>
      <c r="G9" s="1">
        <v>65</v>
      </c>
      <c r="H9" s="1">
        <v>500</v>
      </c>
      <c r="J9" s="1">
        <v>162.5</v>
      </c>
      <c r="K9" s="1">
        <v>150</v>
      </c>
      <c r="L9" s="1">
        <v>115</v>
      </c>
      <c r="N9" s="1">
        <v>80</v>
      </c>
      <c r="O9" s="1">
        <v>240</v>
      </c>
      <c r="Q9" s="31">
        <f t="shared" si="0"/>
        <v>1625</v>
      </c>
      <c r="S9" s="32"/>
    </row>
    <row r="10" spans="1:19" ht="21.75" customHeight="1" x14ac:dyDescent="0.25">
      <c r="A10" s="1">
        <v>7</v>
      </c>
      <c r="B10" s="21" t="s">
        <v>239</v>
      </c>
      <c r="G10" s="1">
        <v>300</v>
      </c>
      <c r="H10" s="1">
        <v>300</v>
      </c>
      <c r="J10" s="1">
        <v>162.5</v>
      </c>
      <c r="L10" s="1">
        <v>115</v>
      </c>
      <c r="N10" s="1">
        <v>120</v>
      </c>
      <c r="O10" s="1">
        <v>600</v>
      </c>
      <c r="Q10" s="31">
        <f t="shared" si="0"/>
        <v>1597.5</v>
      </c>
      <c r="S10" s="32"/>
    </row>
    <row r="11" spans="1:19" ht="21.75" customHeight="1" x14ac:dyDescent="0.25">
      <c r="A11" s="1">
        <v>8</v>
      </c>
      <c r="B11" s="21" t="s">
        <v>242</v>
      </c>
      <c r="D11" s="30">
        <v>45</v>
      </c>
      <c r="F11" s="1">
        <v>150</v>
      </c>
      <c r="G11" s="1">
        <v>65</v>
      </c>
      <c r="H11" s="1">
        <v>125</v>
      </c>
      <c r="I11" s="1">
        <v>100</v>
      </c>
      <c r="J11" s="1">
        <v>300</v>
      </c>
      <c r="L11" s="1">
        <v>350</v>
      </c>
      <c r="N11" s="1">
        <v>80</v>
      </c>
      <c r="O11" s="1">
        <v>150</v>
      </c>
      <c r="Q11" s="31">
        <f t="shared" si="0"/>
        <v>1365</v>
      </c>
      <c r="S11" s="32"/>
    </row>
    <row r="12" spans="1:19" ht="21.75" customHeight="1" x14ac:dyDescent="0.25">
      <c r="A12" s="1">
        <v>9</v>
      </c>
      <c r="B12" s="21" t="s">
        <v>238</v>
      </c>
      <c r="F12" s="1">
        <v>32.5</v>
      </c>
      <c r="H12" s="1">
        <v>200</v>
      </c>
      <c r="J12" s="1">
        <v>300</v>
      </c>
      <c r="K12" s="1">
        <v>250</v>
      </c>
      <c r="L12" s="1">
        <v>207.5</v>
      </c>
      <c r="N12" s="1">
        <v>120</v>
      </c>
      <c r="O12" s="1">
        <v>240</v>
      </c>
      <c r="Q12" s="31">
        <f t="shared" si="0"/>
        <v>1350</v>
      </c>
      <c r="S12" s="32"/>
    </row>
    <row r="13" spans="1:19" ht="21.75" customHeight="1" x14ac:dyDescent="0.25">
      <c r="A13" s="1">
        <v>10</v>
      </c>
      <c r="B13" s="21" t="s">
        <v>237</v>
      </c>
      <c r="F13" s="1">
        <v>150</v>
      </c>
      <c r="G13" s="1">
        <v>65</v>
      </c>
      <c r="H13" s="1">
        <v>125</v>
      </c>
      <c r="I13" s="1">
        <v>100</v>
      </c>
      <c r="J13" s="1">
        <v>300</v>
      </c>
      <c r="L13" s="1">
        <v>350</v>
      </c>
      <c r="N13" s="1">
        <v>80</v>
      </c>
      <c r="O13" s="1">
        <v>150</v>
      </c>
      <c r="Q13" s="31">
        <f t="shared" si="0"/>
        <v>1320</v>
      </c>
      <c r="S13" s="32"/>
    </row>
    <row r="14" spans="1:19" ht="21.75" customHeight="1" x14ac:dyDescent="0.25">
      <c r="A14" s="1">
        <v>11</v>
      </c>
      <c r="B14" s="21" t="s">
        <v>236</v>
      </c>
      <c r="H14" s="1">
        <v>200</v>
      </c>
      <c r="J14" s="1">
        <v>300</v>
      </c>
      <c r="K14" s="1">
        <v>250</v>
      </c>
      <c r="L14" s="1">
        <v>207.5</v>
      </c>
      <c r="N14" s="1">
        <v>120</v>
      </c>
      <c r="O14" s="1">
        <v>240</v>
      </c>
      <c r="Q14" s="31">
        <f t="shared" si="0"/>
        <v>1317.5</v>
      </c>
      <c r="S14" s="32"/>
    </row>
    <row r="15" spans="1:19" ht="21.75" customHeight="1" x14ac:dyDescent="0.25">
      <c r="A15" s="1">
        <v>12</v>
      </c>
      <c r="B15" s="21" t="s">
        <v>245</v>
      </c>
      <c r="H15" s="1">
        <v>300</v>
      </c>
      <c r="J15" s="1">
        <v>162.5</v>
      </c>
      <c r="L15" s="1">
        <v>115</v>
      </c>
      <c r="N15" s="1">
        <v>120</v>
      </c>
      <c r="O15" s="1">
        <v>600</v>
      </c>
      <c r="Q15" s="31">
        <f t="shared" si="0"/>
        <v>1297.5</v>
      </c>
      <c r="S15" s="32"/>
    </row>
    <row r="16" spans="1:19" ht="21.75" customHeight="1" x14ac:dyDescent="0.25">
      <c r="A16" s="1">
        <v>13</v>
      </c>
      <c r="B16" s="21" t="s">
        <v>247</v>
      </c>
      <c r="E16" s="1">
        <v>150</v>
      </c>
      <c r="G16" s="1">
        <v>200</v>
      </c>
      <c r="H16" s="1">
        <v>300</v>
      </c>
      <c r="K16" s="1">
        <v>150</v>
      </c>
      <c r="L16" s="1">
        <v>115</v>
      </c>
      <c r="N16" s="1">
        <v>50</v>
      </c>
      <c r="Q16" s="31">
        <f t="shared" si="0"/>
        <v>965</v>
      </c>
      <c r="S16" s="32"/>
    </row>
    <row r="17" spans="1:19" ht="21.75" customHeight="1" x14ac:dyDescent="0.25">
      <c r="A17" s="1" t="s">
        <v>34</v>
      </c>
      <c r="B17" s="9" t="s">
        <v>254</v>
      </c>
      <c r="E17" s="1">
        <v>150</v>
      </c>
      <c r="G17" s="1">
        <v>200</v>
      </c>
      <c r="H17" s="1">
        <v>300</v>
      </c>
      <c r="K17" s="1">
        <v>150</v>
      </c>
      <c r="L17" s="1">
        <v>115</v>
      </c>
      <c r="N17" s="1">
        <v>50</v>
      </c>
      <c r="Q17" s="31">
        <f t="shared" si="0"/>
        <v>965</v>
      </c>
      <c r="S17" s="32"/>
    </row>
    <row r="18" spans="1:19" ht="21.75" customHeight="1" x14ac:dyDescent="0.25">
      <c r="A18" s="1">
        <v>15</v>
      </c>
      <c r="B18" s="21" t="s">
        <v>269</v>
      </c>
      <c r="G18" s="1">
        <v>300</v>
      </c>
      <c r="J18" s="1">
        <v>500</v>
      </c>
      <c r="Q18" s="31">
        <f t="shared" si="0"/>
        <v>800</v>
      </c>
      <c r="S18" s="32"/>
    </row>
    <row r="19" spans="1:19" ht="21.75" customHeight="1" x14ac:dyDescent="0.25">
      <c r="A19" s="1">
        <v>16</v>
      </c>
      <c r="B19" s="21" t="s">
        <v>276</v>
      </c>
      <c r="H19" s="1">
        <v>750</v>
      </c>
      <c r="P19" s="1">
        <v>25</v>
      </c>
      <c r="Q19" s="31">
        <f t="shared" si="0"/>
        <v>775</v>
      </c>
      <c r="S19" s="32"/>
    </row>
    <row r="20" spans="1:19" ht="21.75" customHeight="1" x14ac:dyDescent="0.25">
      <c r="A20" s="1">
        <v>17</v>
      </c>
      <c r="B20" s="21" t="s">
        <v>279</v>
      </c>
      <c r="H20" s="1">
        <v>750</v>
      </c>
      <c r="Q20" s="31">
        <f t="shared" si="0"/>
        <v>750</v>
      </c>
      <c r="S20" s="32"/>
    </row>
    <row r="21" spans="1:19" ht="21.75" customHeight="1" x14ac:dyDescent="0.25">
      <c r="A21" s="1">
        <v>18</v>
      </c>
      <c r="B21" s="21" t="s">
        <v>246</v>
      </c>
      <c r="C21" s="30">
        <v>25</v>
      </c>
      <c r="D21" s="30"/>
      <c r="G21" s="1">
        <v>65</v>
      </c>
      <c r="H21" s="1">
        <v>200</v>
      </c>
      <c r="I21" s="1">
        <v>25</v>
      </c>
      <c r="K21" s="1">
        <v>81.25</v>
      </c>
      <c r="L21" s="1">
        <v>115</v>
      </c>
      <c r="O21" s="1">
        <v>150</v>
      </c>
      <c r="Q21" s="31">
        <f t="shared" si="0"/>
        <v>661.25</v>
      </c>
      <c r="S21" s="32"/>
    </row>
    <row r="22" spans="1:19" ht="21.75" customHeight="1" x14ac:dyDescent="0.25">
      <c r="A22" s="1" t="s">
        <v>34</v>
      </c>
      <c r="B22" s="21" t="s">
        <v>244</v>
      </c>
      <c r="C22" s="30">
        <v>25</v>
      </c>
      <c r="D22" s="30"/>
      <c r="G22" s="1">
        <v>65</v>
      </c>
      <c r="H22" s="1">
        <v>200</v>
      </c>
      <c r="I22" s="1">
        <v>25</v>
      </c>
      <c r="K22" s="1">
        <v>81.25</v>
      </c>
      <c r="L22" s="1">
        <v>115</v>
      </c>
      <c r="O22" s="1">
        <v>150</v>
      </c>
      <c r="Q22" s="31">
        <f t="shared" si="0"/>
        <v>661.25</v>
      </c>
      <c r="S22" s="32"/>
    </row>
    <row r="23" spans="1:19" ht="21.75" customHeight="1" x14ac:dyDescent="0.25">
      <c r="A23" s="1">
        <v>20</v>
      </c>
      <c r="B23" s="21" t="s">
        <v>248</v>
      </c>
      <c r="D23" s="30">
        <v>45</v>
      </c>
      <c r="I23" s="1">
        <v>25</v>
      </c>
      <c r="K23" s="1">
        <v>81.25</v>
      </c>
      <c r="N23" s="1">
        <v>50</v>
      </c>
      <c r="O23" s="1">
        <v>300</v>
      </c>
      <c r="Q23" s="31">
        <f t="shared" si="0"/>
        <v>501.25</v>
      </c>
      <c r="S23" s="32"/>
    </row>
    <row r="24" spans="1:19" ht="21.75" customHeight="1" x14ac:dyDescent="0.25">
      <c r="A24" s="1" t="s">
        <v>34</v>
      </c>
      <c r="B24" s="21" t="s">
        <v>249</v>
      </c>
      <c r="D24" s="30">
        <v>45</v>
      </c>
      <c r="E24" s="11"/>
      <c r="I24" s="1">
        <v>25</v>
      </c>
      <c r="K24" s="1">
        <v>81.25</v>
      </c>
      <c r="N24" s="1">
        <v>50</v>
      </c>
      <c r="O24" s="1">
        <v>300</v>
      </c>
      <c r="Q24" s="31">
        <f t="shared" si="0"/>
        <v>501.25</v>
      </c>
      <c r="S24" s="32"/>
    </row>
    <row r="25" spans="1:19" ht="21.75" customHeight="1" x14ac:dyDescent="0.25">
      <c r="A25" s="1">
        <v>22</v>
      </c>
      <c r="B25" s="21" t="s">
        <v>278</v>
      </c>
      <c r="J25" s="1">
        <v>500</v>
      </c>
      <c r="Q25" s="31">
        <f t="shared" si="0"/>
        <v>500</v>
      </c>
      <c r="S25" s="32"/>
    </row>
    <row r="26" spans="1:19" ht="21.75" customHeight="1" x14ac:dyDescent="0.25">
      <c r="A26" s="1">
        <v>23</v>
      </c>
      <c r="B26" s="21" t="s">
        <v>274</v>
      </c>
      <c r="F26" s="1">
        <v>32.5</v>
      </c>
      <c r="I26" s="1">
        <v>50</v>
      </c>
      <c r="N26" s="1">
        <v>200</v>
      </c>
      <c r="Q26" s="31">
        <f t="shared" si="0"/>
        <v>282.5</v>
      </c>
      <c r="S26" s="32"/>
    </row>
    <row r="27" spans="1:19" ht="21.75" customHeight="1" x14ac:dyDescent="0.25">
      <c r="A27" s="1">
        <v>24</v>
      </c>
      <c r="B27" s="21" t="s">
        <v>252</v>
      </c>
      <c r="E27" s="1">
        <v>62.5</v>
      </c>
      <c r="F27" s="1">
        <v>100</v>
      </c>
      <c r="K27" s="1">
        <v>81.25</v>
      </c>
      <c r="Q27" s="31">
        <f t="shared" si="0"/>
        <v>243.75</v>
      </c>
      <c r="S27" s="32"/>
    </row>
    <row r="28" spans="1:19" ht="21.75" customHeight="1" x14ac:dyDescent="0.25">
      <c r="A28" s="1">
        <v>25</v>
      </c>
      <c r="B28" s="21" t="s">
        <v>250</v>
      </c>
      <c r="D28" s="30">
        <v>97.5</v>
      </c>
      <c r="E28" s="1">
        <v>62.5</v>
      </c>
      <c r="G28" s="1">
        <v>65</v>
      </c>
      <c r="Q28" s="31">
        <f t="shared" si="0"/>
        <v>225</v>
      </c>
      <c r="S28" s="32"/>
    </row>
    <row r="29" spans="1:19" ht="21.75" customHeight="1" x14ac:dyDescent="0.25">
      <c r="A29" s="1" t="s">
        <v>34</v>
      </c>
      <c r="B29" s="21" t="s">
        <v>251</v>
      </c>
      <c r="D29" s="30">
        <v>97.5</v>
      </c>
      <c r="E29" s="1">
        <v>62.5</v>
      </c>
      <c r="G29" s="1">
        <v>65</v>
      </c>
      <c r="Q29" s="31">
        <f t="shared" si="0"/>
        <v>225</v>
      </c>
      <c r="S29" s="32"/>
    </row>
    <row r="30" spans="1:19" ht="21.75" customHeight="1" x14ac:dyDescent="0.25">
      <c r="A30" s="1">
        <v>27</v>
      </c>
      <c r="B30" s="21" t="s">
        <v>294</v>
      </c>
      <c r="M30" s="1">
        <v>150</v>
      </c>
      <c r="P30" s="1">
        <v>60</v>
      </c>
      <c r="Q30" s="31">
        <f t="shared" si="0"/>
        <v>210</v>
      </c>
      <c r="S30" s="32"/>
    </row>
    <row r="31" spans="1:19" ht="21.75" customHeight="1" x14ac:dyDescent="0.25">
      <c r="A31" s="1" t="s">
        <v>34</v>
      </c>
      <c r="B31" s="21" t="s">
        <v>293</v>
      </c>
      <c r="M31" s="1">
        <v>150</v>
      </c>
      <c r="P31" s="1">
        <v>60</v>
      </c>
      <c r="Q31" s="31">
        <f t="shared" si="0"/>
        <v>210</v>
      </c>
      <c r="S31" s="32"/>
    </row>
    <row r="32" spans="1:19" ht="21.75" customHeight="1" x14ac:dyDescent="0.25">
      <c r="A32" s="1">
        <v>29</v>
      </c>
      <c r="B32" s="21" t="s">
        <v>295</v>
      </c>
      <c r="M32" s="1">
        <v>100</v>
      </c>
      <c r="P32" s="1">
        <v>100</v>
      </c>
      <c r="Q32" s="31">
        <f t="shared" si="0"/>
        <v>200</v>
      </c>
      <c r="S32" s="32"/>
    </row>
    <row r="33" spans="1:19" ht="21.75" customHeight="1" x14ac:dyDescent="0.25">
      <c r="A33" s="1" t="s">
        <v>34</v>
      </c>
      <c r="B33" s="21" t="s">
        <v>296</v>
      </c>
      <c r="M33" s="1">
        <v>100</v>
      </c>
      <c r="P33" s="1">
        <v>100</v>
      </c>
      <c r="Q33" s="31">
        <f t="shared" si="0"/>
        <v>200</v>
      </c>
      <c r="S33" s="32"/>
    </row>
    <row r="34" spans="1:19" ht="21.75" customHeight="1" x14ac:dyDescent="0.25">
      <c r="A34" s="1">
        <v>31</v>
      </c>
      <c r="B34" s="21" t="s">
        <v>265</v>
      </c>
      <c r="D34" s="30">
        <v>45</v>
      </c>
      <c r="F34" s="1">
        <v>32.5</v>
      </c>
      <c r="G34" s="1">
        <v>120</v>
      </c>
      <c r="Q34" s="31">
        <f t="shared" si="0"/>
        <v>197.5</v>
      </c>
      <c r="S34" s="32"/>
    </row>
    <row r="35" spans="1:19" ht="21.75" customHeight="1" x14ac:dyDescent="0.25">
      <c r="A35" s="1" t="s">
        <v>34</v>
      </c>
      <c r="B35" s="21" t="s">
        <v>288</v>
      </c>
      <c r="D35" s="30">
        <v>45</v>
      </c>
      <c r="F35" s="1">
        <v>32.5</v>
      </c>
      <c r="G35" s="1">
        <v>120</v>
      </c>
      <c r="Q35" s="31">
        <f t="shared" si="0"/>
        <v>197.5</v>
      </c>
      <c r="S35" s="32"/>
    </row>
    <row r="36" spans="1:19" ht="21.75" customHeight="1" x14ac:dyDescent="0.25">
      <c r="A36" s="1">
        <v>33</v>
      </c>
      <c r="B36" s="21" t="s">
        <v>253</v>
      </c>
      <c r="D36" s="30">
        <v>45</v>
      </c>
      <c r="I36" s="1">
        <v>50</v>
      </c>
      <c r="K36" s="1">
        <v>81.25</v>
      </c>
      <c r="Q36" s="31">
        <f t="shared" ref="Q36:Q67" si="1">SUM(C36:P36)</f>
        <v>176.25</v>
      </c>
      <c r="S36" s="32"/>
    </row>
    <row r="37" spans="1:19" ht="21.75" customHeight="1" x14ac:dyDescent="0.25">
      <c r="A37" s="1">
        <v>34</v>
      </c>
      <c r="B37" s="21" t="s">
        <v>280</v>
      </c>
      <c r="E37" s="1">
        <v>62.5</v>
      </c>
      <c r="F37" s="1">
        <v>100</v>
      </c>
      <c r="Q37" s="31">
        <f t="shared" si="1"/>
        <v>162.5</v>
      </c>
      <c r="S37" s="32"/>
    </row>
    <row r="38" spans="1:19" ht="21.75" customHeight="1" x14ac:dyDescent="0.25">
      <c r="A38" s="1" t="s">
        <v>34</v>
      </c>
      <c r="B38" s="21" t="s">
        <v>277</v>
      </c>
      <c r="J38" s="1">
        <v>162.5</v>
      </c>
      <c r="Q38" s="31">
        <f t="shared" si="1"/>
        <v>162.5</v>
      </c>
      <c r="S38" s="32"/>
    </row>
    <row r="39" spans="1:19" ht="21.75" customHeight="1" x14ac:dyDescent="0.25">
      <c r="A39" s="1" t="s">
        <v>34</v>
      </c>
      <c r="B39" s="21" t="s">
        <v>268</v>
      </c>
      <c r="J39" s="1">
        <v>162.5</v>
      </c>
      <c r="Q39" s="31">
        <f t="shared" si="1"/>
        <v>162.5</v>
      </c>
      <c r="S39" s="32"/>
    </row>
    <row r="40" spans="1:19" ht="21.75" customHeight="1" x14ac:dyDescent="0.25">
      <c r="A40" s="1">
        <v>37</v>
      </c>
      <c r="B40" s="21" t="s">
        <v>263</v>
      </c>
      <c r="P40" s="1">
        <v>150</v>
      </c>
      <c r="Q40" s="31">
        <f t="shared" si="1"/>
        <v>150</v>
      </c>
      <c r="S40" s="32"/>
    </row>
    <row r="41" spans="1:19" ht="21.75" customHeight="1" x14ac:dyDescent="0.25">
      <c r="A41" s="1" t="s">
        <v>34</v>
      </c>
      <c r="B41" s="21" t="s">
        <v>264</v>
      </c>
      <c r="P41" s="1">
        <v>150</v>
      </c>
      <c r="Q41" s="31">
        <f t="shared" si="1"/>
        <v>150</v>
      </c>
      <c r="S41" s="32"/>
    </row>
    <row r="42" spans="1:19" ht="21.75" customHeight="1" x14ac:dyDescent="0.25">
      <c r="A42" s="1">
        <v>39</v>
      </c>
      <c r="B42" s="21" t="s">
        <v>282</v>
      </c>
      <c r="C42" s="30">
        <v>100</v>
      </c>
      <c r="D42" s="30">
        <v>45</v>
      </c>
      <c r="H42" s="11"/>
      <c r="I42" s="11"/>
      <c r="J42" s="11"/>
      <c r="K42" s="11"/>
      <c r="L42" s="11"/>
      <c r="M42" s="11"/>
      <c r="N42" s="11"/>
      <c r="O42" s="11"/>
      <c r="P42" s="11"/>
      <c r="Q42" s="31">
        <f t="shared" si="1"/>
        <v>145</v>
      </c>
      <c r="S42" s="32"/>
    </row>
    <row r="43" spans="1:19" ht="21.75" customHeight="1" x14ac:dyDescent="0.25">
      <c r="A43" s="1" t="s">
        <v>34</v>
      </c>
      <c r="B43" s="21" t="s">
        <v>401</v>
      </c>
      <c r="C43" s="30">
        <v>100</v>
      </c>
      <c r="D43" s="30">
        <v>45</v>
      </c>
      <c r="Q43" s="31">
        <f t="shared" si="1"/>
        <v>145</v>
      </c>
      <c r="S43" s="32"/>
    </row>
    <row r="44" spans="1:19" ht="21.75" customHeight="1" x14ac:dyDescent="0.25">
      <c r="A44" s="1">
        <v>41</v>
      </c>
      <c r="B44" s="21" t="s">
        <v>273</v>
      </c>
      <c r="D44" s="30">
        <v>97.5</v>
      </c>
      <c r="F44" s="1">
        <v>32.5</v>
      </c>
      <c r="Q44" s="31">
        <f t="shared" si="1"/>
        <v>130</v>
      </c>
      <c r="S44" s="32"/>
    </row>
    <row r="45" spans="1:19" ht="21.75" customHeight="1" x14ac:dyDescent="0.25">
      <c r="A45" s="1">
        <v>42</v>
      </c>
      <c r="B45" s="21" t="s">
        <v>258</v>
      </c>
      <c r="H45" s="1">
        <v>125</v>
      </c>
      <c r="Q45" s="31">
        <f t="shared" si="1"/>
        <v>125</v>
      </c>
      <c r="S45" s="32"/>
    </row>
    <row r="46" spans="1:19" ht="21.75" customHeight="1" x14ac:dyDescent="0.25">
      <c r="A46" s="1" t="s">
        <v>34</v>
      </c>
      <c r="B46" s="21" t="s">
        <v>256</v>
      </c>
      <c r="H46" s="1">
        <v>125</v>
      </c>
      <c r="Q46" s="31">
        <f t="shared" si="1"/>
        <v>125</v>
      </c>
      <c r="S46" s="32"/>
    </row>
    <row r="47" spans="1:19" ht="21.75" customHeight="1" x14ac:dyDescent="0.25">
      <c r="A47" s="1">
        <v>44</v>
      </c>
      <c r="B47" s="21" t="s">
        <v>267</v>
      </c>
      <c r="D47" s="30">
        <v>97.5</v>
      </c>
      <c r="Q47" s="31">
        <f t="shared" si="1"/>
        <v>97.5</v>
      </c>
      <c r="S47" s="32"/>
    </row>
    <row r="48" spans="1:19" ht="21.75" customHeight="1" x14ac:dyDescent="0.25">
      <c r="A48" s="1">
        <v>45</v>
      </c>
      <c r="B48" s="21" t="s">
        <v>303</v>
      </c>
      <c r="K48" s="1">
        <v>81.25</v>
      </c>
      <c r="Q48" s="31">
        <f t="shared" si="1"/>
        <v>81.25</v>
      </c>
      <c r="S48" s="32"/>
    </row>
    <row r="49" spans="1:19" ht="21.75" customHeight="1" x14ac:dyDescent="0.25">
      <c r="A49" s="1" t="s">
        <v>34</v>
      </c>
      <c r="B49" s="21" t="s">
        <v>306</v>
      </c>
      <c r="K49" s="1">
        <v>81.25</v>
      </c>
      <c r="Q49" s="31">
        <f t="shared" si="1"/>
        <v>81.25</v>
      </c>
      <c r="S49" s="32"/>
    </row>
    <row r="50" spans="1:19" ht="21.75" customHeight="1" x14ac:dyDescent="0.25">
      <c r="A50" s="1">
        <v>47</v>
      </c>
      <c r="B50" s="21" t="s">
        <v>284</v>
      </c>
      <c r="M50" s="1">
        <v>25</v>
      </c>
      <c r="P50" s="1">
        <v>40</v>
      </c>
      <c r="Q50" s="31">
        <f t="shared" si="1"/>
        <v>65</v>
      </c>
      <c r="S50" s="32"/>
    </row>
    <row r="51" spans="1:19" ht="21.75" customHeight="1" x14ac:dyDescent="0.25">
      <c r="A51" s="1" t="s">
        <v>34</v>
      </c>
      <c r="B51" s="21" t="s">
        <v>402</v>
      </c>
      <c r="M51" s="1">
        <v>25</v>
      </c>
      <c r="P51" s="1">
        <v>40</v>
      </c>
      <c r="Q51" s="31">
        <f t="shared" si="1"/>
        <v>65</v>
      </c>
      <c r="S51" s="32"/>
    </row>
    <row r="52" spans="1:19" ht="21.75" customHeight="1" x14ac:dyDescent="0.25">
      <c r="A52" s="1" t="s">
        <v>34</v>
      </c>
      <c r="B52" s="21" t="s">
        <v>289</v>
      </c>
      <c r="M52" s="1">
        <v>40</v>
      </c>
      <c r="P52" s="1">
        <v>25</v>
      </c>
      <c r="Q52" s="31">
        <f t="shared" si="1"/>
        <v>65</v>
      </c>
      <c r="S52" s="32"/>
    </row>
    <row r="53" spans="1:19" ht="21.75" customHeight="1" x14ac:dyDescent="0.25">
      <c r="A53" s="1">
        <v>50</v>
      </c>
      <c r="B53" s="21" t="s">
        <v>305</v>
      </c>
      <c r="P53" s="1">
        <v>60</v>
      </c>
      <c r="Q53" s="31">
        <f t="shared" si="1"/>
        <v>60</v>
      </c>
      <c r="S53" s="32"/>
    </row>
    <row r="54" spans="1:19" ht="21.75" customHeight="1" x14ac:dyDescent="0.25">
      <c r="A54" s="1" t="s">
        <v>34</v>
      </c>
      <c r="B54" s="21" t="s">
        <v>403</v>
      </c>
      <c r="P54" s="1">
        <v>60</v>
      </c>
      <c r="Q54" s="31">
        <f t="shared" si="1"/>
        <v>60</v>
      </c>
      <c r="S54" s="32"/>
    </row>
    <row r="55" spans="1:19" ht="21.75" customHeight="1" x14ac:dyDescent="0.25">
      <c r="A55" s="1" t="s">
        <v>34</v>
      </c>
      <c r="B55" s="21" t="s">
        <v>333</v>
      </c>
      <c r="M55" s="1">
        <v>60</v>
      </c>
      <c r="Q55" s="31">
        <f t="shared" si="1"/>
        <v>60</v>
      </c>
      <c r="S55" s="32"/>
    </row>
    <row r="56" spans="1:19" ht="21.75" customHeight="1" x14ac:dyDescent="0.25">
      <c r="A56" s="1" t="s">
        <v>34</v>
      </c>
      <c r="B56" s="21" t="s">
        <v>311</v>
      </c>
      <c r="M56" s="1">
        <v>60</v>
      </c>
      <c r="Q56" s="31">
        <f t="shared" si="1"/>
        <v>60</v>
      </c>
      <c r="S56" s="32"/>
    </row>
    <row r="57" spans="1:19" ht="21.75" customHeight="1" x14ac:dyDescent="0.25">
      <c r="A57" s="1" t="s">
        <v>34</v>
      </c>
      <c r="B57" s="21" t="s">
        <v>300</v>
      </c>
      <c r="M57" s="1">
        <v>60</v>
      </c>
      <c r="Q57" s="31">
        <f t="shared" si="1"/>
        <v>60</v>
      </c>
      <c r="S57" s="32"/>
    </row>
    <row r="58" spans="1:19" ht="21.75" customHeight="1" x14ac:dyDescent="0.25">
      <c r="A58" s="1" t="s">
        <v>34</v>
      </c>
      <c r="B58" s="21" t="s">
        <v>301</v>
      </c>
      <c r="M58" s="1">
        <v>60</v>
      </c>
      <c r="Q58" s="31">
        <f t="shared" si="1"/>
        <v>60</v>
      </c>
      <c r="S58" s="32"/>
    </row>
    <row r="59" spans="1:19" ht="21.75" customHeight="1" x14ac:dyDescent="0.25">
      <c r="A59" s="1">
        <v>56</v>
      </c>
      <c r="B59" s="21" t="s">
        <v>283</v>
      </c>
      <c r="C59" s="30">
        <v>50</v>
      </c>
      <c r="D59" s="30"/>
      <c r="Q59" s="31">
        <f t="shared" si="1"/>
        <v>50</v>
      </c>
      <c r="S59" s="32"/>
    </row>
    <row r="60" spans="1:19" ht="21.75" customHeight="1" x14ac:dyDescent="0.25">
      <c r="A60" s="1" t="s">
        <v>34</v>
      </c>
      <c r="B60" s="21" t="s">
        <v>291</v>
      </c>
      <c r="C60" s="30">
        <v>50</v>
      </c>
      <c r="D60" s="30"/>
      <c r="F60" s="11"/>
      <c r="Q60" s="31">
        <f t="shared" si="1"/>
        <v>50</v>
      </c>
      <c r="S60" s="32"/>
    </row>
    <row r="61" spans="1:19" ht="21.75" customHeight="1" x14ac:dyDescent="0.25">
      <c r="A61" s="1">
        <v>58</v>
      </c>
      <c r="B61" s="21" t="s">
        <v>340</v>
      </c>
      <c r="P61" s="1">
        <v>40</v>
      </c>
      <c r="Q61" s="31">
        <f t="shared" si="1"/>
        <v>40</v>
      </c>
      <c r="S61" s="32"/>
    </row>
    <row r="62" spans="1:19" ht="21.75" customHeight="1" x14ac:dyDescent="0.25">
      <c r="A62" s="1" t="s">
        <v>34</v>
      </c>
      <c r="B62" s="21" t="s">
        <v>281</v>
      </c>
      <c r="P62" s="1">
        <v>40</v>
      </c>
      <c r="Q62" s="31">
        <f t="shared" si="1"/>
        <v>40</v>
      </c>
      <c r="S62" s="32"/>
    </row>
    <row r="63" spans="1:19" ht="21.75" customHeight="1" x14ac:dyDescent="0.25">
      <c r="A63" s="1" t="s">
        <v>34</v>
      </c>
      <c r="B63" s="21" t="s">
        <v>310</v>
      </c>
      <c r="M63" s="1">
        <v>40</v>
      </c>
      <c r="Q63" s="31">
        <f t="shared" si="1"/>
        <v>40</v>
      </c>
      <c r="S63" s="32"/>
    </row>
    <row r="64" spans="1:19" ht="21.75" customHeight="1" x14ac:dyDescent="0.25">
      <c r="A64" s="1" t="s">
        <v>34</v>
      </c>
      <c r="B64" s="9" t="s">
        <v>309</v>
      </c>
      <c r="M64" s="1">
        <v>40</v>
      </c>
      <c r="Q64" s="31">
        <f t="shared" si="1"/>
        <v>40</v>
      </c>
      <c r="S64" s="32"/>
    </row>
    <row r="65" spans="1:19" ht="21.75" customHeight="1" x14ac:dyDescent="0.25">
      <c r="A65" s="1" t="s">
        <v>34</v>
      </c>
      <c r="B65" s="21" t="s">
        <v>404</v>
      </c>
      <c r="M65" s="1">
        <v>40</v>
      </c>
      <c r="Q65" s="31">
        <f t="shared" si="1"/>
        <v>40</v>
      </c>
      <c r="S65" s="32"/>
    </row>
    <row r="66" spans="1:19" ht="21.75" customHeight="1" x14ac:dyDescent="0.25">
      <c r="A66" s="1">
        <v>63</v>
      </c>
      <c r="B66" s="21" t="s">
        <v>271</v>
      </c>
      <c r="F66" s="1">
        <v>32.5</v>
      </c>
      <c r="Q66" s="31">
        <f t="shared" si="1"/>
        <v>32.5</v>
      </c>
      <c r="S66" s="32"/>
    </row>
    <row r="67" spans="1:19" ht="21.75" customHeight="1" x14ac:dyDescent="0.25">
      <c r="A67" s="1">
        <v>64</v>
      </c>
      <c r="B67" s="21" t="s">
        <v>344</v>
      </c>
      <c r="P67" s="1">
        <v>25</v>
      </c>
      <c r="Q67" s="31">
        <f t="shared" si="1"/>
        <v>25</v>
      </c>
      <c r="S67" s="32"/>
    </row>
    <row r="68" spans="1:19" ht="21.75" customHeight="1" x14ac:dyDescent="0.25">
      <c r="A68" s="1" t="s">
        <v>34</v>
      </c>
      <c r="B68" s="21" t="s">
        <v>345</v>
      </c>
      <c r="P68" s="1">
        <v>25</v>
      </c>
      <c r="Q68" s="31">
        <f t="shared" ref="Q68:Q83" si="2">SUM(C68:P68)</f>
        <v>25</v>
      </c>
      <c r="S68" s="32"/>
    </row>
    <row r="69" spans="1:19" ht="21.75" customHeight="1" x14ac:dyDescent="0.25">
      <c r="A69" s="1" t="s">
        <v>34</v>
      </c>
      <c r="B69" s="21" t="s">
        <v>262</v>
      </c>
      <c r="C69" s="30">
        <v>25</v>
      </c>
      <c r="D69" s="30"/>
      <c r="Q69" s="31">
        <f t="shared" si="2"/>
        <v>25</v>
      </c>
      <c r="S69" s="32"/>
    </row>
    <row r="70" spans="1:19" ht="21.75" customHeight="1" x14ac:dyDescent="0.25">
      <c r="A70" s="1" t="s">
        <v>34</v>
      </c>
      <c r="B70" s="21" t="s">
        <v>261</v>
      </c>
      <c r="C70" s="30">
        <v>25</v>
      </c>
      <c r="D70" s="30"/>
      <c r="Q70" s="31">
        <f t="shared" si="2"/>
        <v>25</v>
      </c>
      <c r="S70" s="32"/>
    </row>
    <row r="71" spans="1:19" ht="21.75" customHeight="1" x14ac:dyDescent="0.25">
      <c r="A71" s="1" t="s">
        <v>34</v>
      </c>
      <c r="B71" s="21" t="s">
        <v>321</v>
      </c>
      <c r="M71" s="1">
        <v>25</v>
      </c>
      <c r="Q71" s="31">
        <f t="shared" si="2"/>
        <v>25</v>
      </c>
      <c r="S71" s="32"/>
    </row>
    <row r="72" spans="1:19" ht="21.75" customHeight="1" x14ac:dyDescent="0.25">
      <c r="A72" s="1" t="s">
        <v>34</v>
      </c>
      <c r="B72" s="21" t="s">
        <v>304</v>
      </c>
      <c r="M72" s="1">
        <v>25</v>
      </c>
      <c r="Q72" s="31">
        <f t="shared" si="2"/>
        <v>25</v>
      </c>
      <c r="S72" s="32"/>
    </row>
    <row r="73" spans="1:19" ht="21.75" customHeight="1" x14ac:dyDescent="0.25">
      <c r="A73" s="1">
        <f t="shared" ref="A73:A81" si="3">IF(Q73=Q72,"-",R73)</f>
        <v>0</v>
      </c>
      <c r="Q73" s="31">
        <f t="shared" si="2"/>
        <v>0</v>
      </c>
      <c r="S73" s="32"/>
    </row>
    <row r="74" spans="1:19" ht="21.75" customHeight="1" x14ac:dyDescent="0.25">
      <c r="A74" s="1" t="str">
        <f t="shared" si="3"/>
        <v>-</v>
      </c>
      <c r="Q74" s="31">
        <f t="shared" si="2"/>
        <v>0</v>
      </c>
      <c r="S74" s="32"/>
    </row>
    <row r="75" spans="1:19" ht="21.75" customHeight="1" x14ac:dyDescent="0.25">
      <c r="A75" s="1" t="str">
        <f t="shared" si="3"/>
        <v>-</v>
      </c>
      <c r="Q75" s="31">
        <f t="shared" si="2"/>
        <v>0</v>
      </c>
      <c r="S75" s="32"/>
    </row>
    <row r="76" spans="1:19" ht="21.75" customHeight="1" x14ac:dyDescent="0.25">
      <c r="A76" s="1" t="str">
        <f t="shared" si="3"/>
        <v>-</v>
      </c>
      <c r="Q76" s="31">
        <f t="shared" si="2"/>
        <v>0</v>
      </c>
      <c r="S76" s="32"/>
    </row>
    <row r="77" spans="1:19" ht="21.75" customHeight="1" x14ac:dyDescent="0.25">
      <c r="A77" s="1" t="str">
        <f t="shared" si="3"/>
        <v>-</v>
      </c>
      <c r="D77" s="11"/>
      <c r="E77" s="11"/>
      <c r="Q77" s="31">
        <f t="shared" si="2"/>
        <v>0</v>
      </c>
      <c r="S77" s="32"/>
    </row>
    <row r="78" spans="1:19" ht="21.75" customHeight="1" x14ac:dyDescent="0.25">
      <c r="A78" s="1" t="str">
        <f t="shared" si="3"/>
        <v>-</v>
      </c>
      <c r="Q78" s="31">
        <f t="shared" si="2"/>
        <v>0</v>
      </c>
      <c r="S78" s="32"/>
    </row>
    <row r="79" spans="1:19" ht="21.75" customHeight="1" x14ac:dyDescent="0.25">
      <c r="A79" s="1" t="str">
        <f t="shared" si="3"/>
        <v>-</v>
      </c>
      <c r="Q79" s="31">
        <f t="shared" si="2"/>
        <v>0</v>
      </c>
      <c r="S79" s="32"/>
    </row>
    <row r="80" spans="1:19" ht="21.75" customHeight="1" x14ac:dyDescent="0.25">
      <c r="A80" s="1" t="str">
        <f t="shared" si="3"/>
        <v>-</v>
      </c>
      <c r="Q80" s="31">
        <f t="shared" si="2"/>
        <v>0</v>
      </c>
      <c r="S80" s="32"/>
    </row>
    <row r="81" spans="1:19" ht="21.75" customHeight="1" x14ac:dyDescent="0.25">
      <c r="A81" s="1" t="str">
        <f t="shared" si="3"/>
        <v>-</v>
      </c>
      <c r="Q81" s="31">
        <f t="shared" si="2"/>
        <v>0</v>
      </c>
      <c r="S81" s="32"/>
    </row>
    <row r="82" spans="1:19" ht="21.75" customHeight="1" x14ac:dyDescent="0.25">
      <c r="A82" s="1" t="str">
        <f>IF(Q82=Q75,"-",R82)</f>
        <v>-</v>
      </c>
      <c r="D82" s="18"/>
      <c r="Q82" s="31">
        <f t="shared" si="2"/>
        <v>0</v>
      </c>
      <c r="S82" s="32"/>
    </row>
    <row r="83" spans="1:19" ht="15.75" customHeight="1" x14ac:dyDescent="0.25">
      <c r="C83" s="11">
        <f t="shared" ref="C83:P83" si="4">COUNTA(C4:C82)</f>
        <v>8</v>
      </c>
      <c r="D83" s="11">
        <f t="shared" si="4"/>
        <v>16</v>
      </c>
      <c r="E83" s="11">
        <f t="shared" si="4"/>
        <v>8</v>
      </c>
      <c r="F83" s="11">
        <f t="shared" si="4"/>
        <v>16</v>
      </c>
      <c r="G83" s="11">
        <f t="shared" si="4"/>
        <v>16</v>
      </c>
      <c r="H83" s="11">
        <f t="shared" si="4"/>
        <v>16</v>
      </c>
      <c r="I83" s="11">
        <f t="shared" si="4"/>
        <v>8</v>
      </c>
      <c r="J83" s="11">
        <f t="shared" si="4"/>
        <v>16</v>
      </c>
      <c r="K83" s="11">
        <f t="shared" si="4"/>
        <v>16</v>
      </c>
      <c r="L83" s="11">
        <f t="shared" si="4"/>
        <v>16</v>
      </c>
      <c r="M83" s="11">
        <f t="shared" si="4"/>
        <v>16</v>
      </c>
      <c r="N83" s="11">
        <f t="shared" si="4"/>
        <v>16</v>
      </c>
      <c r="O83" s="11">
        <f t="shared" si="4"/>
        <v>16</v>
      </c>
      <c r="P83" s="11">
        <f t="shared" si="4"/>
        <v>16</v>
      </c>
      <c r="Q83" s="11">
        <f t="shared" si="2"/>
        <v>200</v>
      </c>
    </row>
    <row r="84" spans="1:19" ht="15.75" customHeight="1" x14ac:dyDescent="0.25">
      <c r="C84" s="1">
        <f t="shared" ref="C84:Q84" si="5">SUM(C4:C82)</f>
        <v>400</v>
      </c>
      <c r="D84" s="1">
        <f t="shared" si="5"/>
        <v>1500</v>
      </c>
      <c r="E84" s="1">
        <f t="shared" si="5"/>
        <v>750</v>
      </c>
      <c r="F84" s="1">
        <f t="shared" si="5"/>
        <v>1010</v>
      </c>
      <c r="G84" s="1">
        <f t="shared" si="5"/>
        <v>2000</v>
      </c>
      <c r="H84" s="1">
        <f t="shared" si="5"/>
        <v>5000</v>
      </c>
      <c r="I84" s="1">
        <f t="shared" si="5"/>
        <v>400</v>
      </c>
      <c r="J84" s="1">
        <f t="shared" si="5"/>
        <v>5000</v>
      </c>
      <c r="K84" s="1">
        <f t="shared" si="5"/>
        <v>2500</v>
      </c>
      <c r="L84" s="1">
        <f t="shared" si="5"/>
        <v>3500</v>
      </c>
      <c r="M84" s="1">
        <f t="shared" si="5"/>
        <v>1000</v>
      </c>
      <c r="N84" s="1">
        <f t="shared" si="5"/>
        <v>2000</v>
      </c>
      <c r="O84" s="1">
        <f t="shared" si="5"/>
        <v>6000</v>
      </c>
      <c r="P84" s="1">
        <f t="shared" si="5"/>
        <v>1000</v>
      </c>
      <c r="Q84" s="31">
        <f t="shared" si="5"/>
        <v>32060</v>
      </c>
    </row>
    <row r="85" spans="1:19" ht="15.75" customHeight="1" x14ac:dyDescent="0.25">
      <c r="Q85" s="31"/>
    </row>
    <row r="86" spans="1:19" ht="15.75" customHeight="1" x14ac:dyDescent="0.25">
      <c r="Q86" s="31"/>
    </row>
    <row r="87" spans="1:19" ht="15.75" customHeight="1" x14ac:dyDescent="0.25">
      <c r="C87" s="18"/>
      <c r="Q87" s="31"/>
    </row>
    <row r="88" spans="1:19" ht="15.75" customHeight="1" x14ac:dyDescent="0.25">
      <c r="C88" s="11"/>
      <c r="Q88" s="31"/>
    </row>
    <row r="234" spans="7:16" ht="15.75" customHeight="1" x14ac:dyDescent="0.25">
      <c r="G234" s="11">
        <f t="shared" ref="G234:P234" si="6">COUNTA(G4:G232)</f>
        <v>18</v>
      </c>
      <c r="H234" s="11">
        <f t="shared" si="6"/>
        <v>18</v>
      </c>
      <c r="I234" s="11">
        <f t="shared" si="6"/>
        <v>10</v>
      </c>
      <c r="J234" s="11">
        <f t="shared" si="6"/>
        <v>18</v>
      </c>
      <c r="K234" s="11">
        <f t="shared" si="6"/>
        <v>18</v>
      </c>
      <c r="L234" s="11">
        <f t="shared" si="6"/>
        <v>18</v>
      </c>
      <c r="M234" s="11">
        <f t="shared" si="6"/>
        <v>18</v>
      </c>
      <c r="N234" s="11">
        <f t="shared" si="6"/>
        <v>18</v>
      </c>
      <c r="O234" s="11">
        <f t="shared" si="6"/>
        <v>18</v>
      </c>
      <c r="P234" s="11">
        <f t="shared" si="6"/>
        <v>18</v>
      </c>
    </row>
    <row r="235" spans="7:16" ht="15.75" customHeight="1" x14ac:dyDescent="0.25">
      <c r="G235" s="1">
        <f t="shared" ref="G235:P235" si="7">SUM(G4:G232)</f>
        <v>4016</v>
      </c>
      <c r="H235" s="1">
        <f t="shared" si="7"/>
        <v>10016</v>
      </c>
      <c r="I235" s="1">
        <f t="shared" si="7"/>
        <v>808</v>
      </c>
      <c r="J235" s="1">
        <f t="shared" si="7"/>
        <v>10016</v>
      </c>
      <c r="K235" s="1">
        <f t="shared" si="7"/>
        <v>5016</v>
      </c>
      <c r="L235" s="1">
        <f t="shared" si="7"/>
        <v>7016</v>
      </c>
      <c r="M235" s="1">
        <f t="shared" si="7"/>
        <v>2016</v>
      </c>
      <c r="N235" s="1">
        <f t="shared" si="7"/>
        <v>4016</v>
      </c>
      <c r="O235" s="1">
        <f t="shared" si="7"/>
        <v>12016</v>
      </c>
      <c r="P235" s="1">
        <f t="shared" si="7"/>
        <v>2016</v>
      </c>
    </row>
    <row r="280" spans="5:16" ht="15.75" customHeight="1" x14ac:dyDescent="0.25">
      <c r="E280" s="18"/>
      <c r="F280" s="18"/>
      <c r="G280" s="18"/>
      <c r="H280" s="18"/>
      <c r="I280" s="18"/>
      <c r="J280" s="18"/>
      <c r="K280" s="18"/>
      <c r="L280" s="18"/>
      <c r="M280" s="18"/>
      <c r="N280" s="18"/>
      <c r="O280" s="18"/>
      <c r="P280" s="18"/>
    </row>
    <row r="281" spans="5:16" ht="15.75" customHeight="1" x14ac:dyDescent="0.25">
      <c r="E281" s="11">
        <f t="shared" ref="E281:P281" si="8">COUNTA(E4:E279)</f>
        <v>10</v>
      </c>
      <c r="F281" s="11">
        <f t="shared" si="8"/>
        <v>18</v>
      </c>
      <c r="G281" s="11">
        <f t="shared" si="8"/>
        <v>20</v>
      </c>
      <c r="H281" s="11">
        <f t="shared" si="8"/>
        <v>20</v>
      </c>
      <c r="I281" s="11">
        <f t="shared" si="8"/>
        <v>12</v>
      </c>
      <c r="J281" s="11">
        <f t="shared" si="8"/>
        <v>20</v>
      </c>
      <c r="K281" s="11">
        <f t="shared" si="8"/>
        <v>20</v>
      </c>
      <c r="L281" s="11">
        <f t="shared" si="8"/>
        <v>20</v>
      </c>
      <c r="M281" s="11">
        <f t="shared" si="8"/>
        <v>20</v>
      </c>
      <c r="N281" s="11">
        <f t="shared" si="8"/>
        <v>20</v>
      </c>
      <c r="O281" s="11">
        <f t="shared" si="8"/>
        <v>20</v>
      </c>
      <c r="P281" s="11">
        <f t="shared" si="8"/>
        <v>20</v>
      </c>
    </row>
    <row r="282" spans="5:16" ht="15.75" customHeight="1" x14ac:dyDescent="0.25">
      <c r="E282" s="1">
        <f>SUM(E4:E96)</f>
        <v>1508</v>
      </c>
      <c r="F282" s="1">
        <f>SUM(F4:F96)</f>
        <v>2036</v>
      </c>
      <c r="G282" s="1">
        <f t="shared" ref="G282:P282" si="9">SUM(G4:G278)</f>
        <v>8050</v>
      </c>
      <c r="H282" s="1">
        <f t="shared" si="9"/>
        <v>20050</v>
      </c>
      <c r="I282" s="1">
        <f t="shared" si="9"/>
        <v>1626</v>
      </c>
      <c r="J282" s="1">
        <f t="shared" si="9"/>
        <v>20050</v>
      </c>
      <c r="K282" s="1">
        <f t="shared" si="9"/>
        <v>10050</v>
      </c>
      <c r="L282" s="1">
        <f t="shared" si="9"/>
        <v>14050</v>
      </c>
      <c r="M282" s="1">
        <f t="shared" si="9"/>
        <v>4050</v>
      </c>
      <c r="N282" s="1">
        <f t="shared" si="9"/>
        <v>8050</v>
      </c>
      <c r="O282" s="1">
        <f t="shared" si="9"/>
        <v>24050</v>
      </c>
      <c r="P282" s="1">
        <f t="shared" si="9"/>
        <v>4050</v>
      </c>
    </row>
  </sheetData>
  <autoFilter ref="B2:B282" xr:uid="{00000000-0009-0000-0000-000003000000}"/>
  <mergeCells count="1">
    <mergeCell ref="A2:B3"/>
  </mergeCells>
  <conditionalFormatting sqref="B1:B1048576">
    <cfRule type="duplicateValues" dxfId="7" priority="2"/>
    <cfRule type="duplicateValues" dxfId="6" priority="3"/>
    <cfRule type="duplicateValues" dxfId="5" priority="4"/>
  </conditionalFormatting>
  <conditionalFormatting sqref="S1:S1048576">
    <cfRule type="cellIs" dxfId="4" priority="5" operator="lessThan">
      <formula>0</formula>
    </cfRule>
  </conditionalFormatting>
  <conditionalFormatting sqref="B4:B82">
    <cfRule type="duplicateValues" dxfId="3" priority="6"/>
  </conditionalFormatting>
  <pageMargins left="0.70833333333333304" right="0.70833333333333304" top="0.94513888888888897" bottom="0.74791666666666701" header="0.511811023622047" footer="0.511811023622047"/>
  <pageSetup paperSize="9" scale="33"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1">
              <controlPr defaultSize="0" autoFill="0" autoPict="0" macro="Module1.SortAndRank" altText="Sort ">
                <anchor moveWithCells="1">
                  <from>
                    <xdr:col>17</xdr:col>
                    <xdr:colOff>66675</xdr:colOff>
                    <xdr:row>1</xdr:row>
                    <xdr:rowOff>57150</xdr:rowOff>
                  </from>
                  <to>
                    <xdr:col>18</xdr:col>
                    <xdr:colOff>180975</xdr:colOff>
                    <xdr:row>2</xdr:row>
                    <xdr:rowOff>-438150</xdr:rowOff>
                  </to>
                </anchor>
              </controlPr>
            </control>
          </mc:Choice>
        </mc:AlternateContent>
        <mc:AlternateContent xmlns:mc="http://schemas.openxmlformats.org/markup-compatibility/2006">
          <mc:Choice Requires="x14">
            <control shapeId="4101" r:id="rId5" name="Button 3">
              <controlPr defaultSize="0" autoFill="0" autoPict="0" macro="Module3.ExportToXLSX" altText="Export">
                <anchor moveWithCells="1">
                  <from>
                    <xdr:col>17</xdr:col>
                    <xdr:colOff>66675</xdr:colOff>
                    <xdr:row>1</xdr:row>
                    <xdr:rowOff>542925</xdr:rowOff>
                  </from>
                  <to>
                    <xdr:col>18</xdr:col>
                    <xdr:colOff>180975</xdr:colOff>
                    <xdr:row>2</xdr:row>
                    <xdr:rowOff>47625</xdr:rowOff>
                  </to>
                </anchor>
              </controlPr>
            </control>
          </mc:Choice>
        </mc:AlternateContent>
        <mc:AlternateContent xmlns:mc="http://schemas.openxmlformats.org/markup-compatibility/2006">
          <mc:Choice Requires="x14">
            <control shapeId="4102" r:id="rId6" name="Button 2">
              <controlPr defaultSize="0" autoFill="0" autoPict="0" macro="Module2.ClearData" altText="Clear ">
                <anchor moveWithCells="1">
                  <from>
                    <xdr:col>17</xdr:col>
                    <xdr:colOff>66675</xdr:colOff>
                    <xdr:row>2</xdr:row>
                    <xdr:rowOff>133350</xdr:rowOff>
                  </from>
                  <to>
                    <xdr:col>18</xdr:col>
                    <xdr:colOff>180975</xdr:colOff>
                    <xdr:row>4</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X49"/>
  <sheetViews>
    <sheetView view="pageBreakPreview" topLeftCell="A2" zoomScale="90" zoomScaleNormal="100" zoomScalePageLayoutView="90" workbookViewId="0">
      <selection activeCell="D3" sqref="D3:E3"/>
    </sheetView>
  </sheetViews>
  <sheetFormatPr defaultColWidth="14.42578125" defaultRowHeight="15" x14ac:dyDescent="0.25"/>
  <cols>
    <col min="1" max="1" width="5.5703125" customWidth="1"/>
    <col min="2" max="3" width="60.7109375" customWidth="1"/>
    <col min="4" max="5" width="16.42578125" customWidth="1"/>
    <col min="6" max="6" width="15" customWidth="1"/>
    <col min="7" max="7" width="9.140625" customWidth="1"/>
    <col min="8" max="8" width="50" customWidth="1"/>
    <col min="9" max="24" width="8.7109375" customWidth="1"/>
  </cols>
  <sheetData>
    <row r="1" spans="1:24" hidden="1" x14ac:dyDescent="0.25"/>
    <row r="2" spans="1:24" ht="42" customHeight="1" x14ac:dyDescent="0.25">
      <c r="A2" s="53" t="s">
        <v>405</v>
      </c>
      <c r="B2" s="53"/>
      <c r="C2" s="53"/>
      <c r="D2" s="53"/>
      <c r="E2" s="53"/>
      <c r="F2" s="53"/>
      <c r="G2" s="33"/>
      <c r="H2" s="34"/>
      <c r="I2" s="34"/>
      <c r="J2" s="34"/>
      <c r="K2" s="34"/>
      <c r="L2" s="34"/>
      <c r="M2" s="34"/>
      <c r="N2" s="34"/>
      <c r="O2" s="34"/>
      <c r="P2" s="34"/>
      <c r="Q2" s="34"/>
      <c r="R2" s="34"/>
      <c r="S2" s="34"/>
      <c r="T2" s="34"/>
      <c r="U2" s="34"/>
      <c r="V2" s="34"/>
      <c r="W2" s="34"/>
      <c r="X2" s="34"/>
    </row>
    <row r="3" spans="1:24" ht="42" customHeight="1" x14ac:dyDescent="0.25">
      <c r="A3" s="35"/>
      <c r="B3" s="36" t="s">
        <v>406</v>
      </c>
      <c r="C3" s="37" t="s">
        <v>407</v>
      </c>
      <c r="D3" s="54" t="s">
        <v>451</v>
      </c>
      <c r="E3" s="54"/>
      <c r="F3" s="38" t="s">
        <v>17</v>
      </c>
      <c r="G3" s="33"/>
      <c r="H3" s="34"/>
      <c r="I3" s="34"/>
      <c r="J3" s="34"/>
      <c r="K3" s="34"/>
      <c r="L3" s="34"/>
      <c r="M3" s="34"/>
      <c r="N3" s="34"/>
      <c r="O3" s="34"/>
      <c r="P3" s="34"/>
      <c r="Q3" s="34"/>
      <c r="R3" s="34"/>
      <c r="S3" s="34"/>
      <c r="T3" s="34"/>
      <c r="U3" s="34"/>
      <c r="V3" s="34"/>
      <c r="W3" s="34"/>
      <c r="X3" s="34"/>
    </row>
    <row r="4" spans="1:24" ht="42" customHeight="1" x14ac:dyDescent="0.25">
      <c r="A4" s="35"/>
      <c r="B4" s="39"/>
      <c r="C4" s="40"/>
      <c r="D4" s="41">
        <f>IFERROR(INDEX(MEN!$R:$R,MATCH(B4,MEN!$B:$B,0)),0)</f>
        <v>0</v>
      </c>
      <c r="E4" s="41">
        <f>IFERROR(INDEX(MEN!$R:$R,MATCH(C4,MEN!$B:$B,0)),0)</f>
        <v>0</v>
      </c>
      <c r="F4" s="41">
        <f t="shared" ref="F4:F49" si="0">SUM(D4:E4)</f>
        <v>0</v>
      </c>
      <c r="G4" s="33"/>
      <c r="H4" s="34"/>
      <c r="I4" s="34"/>
      <c r="J4" s="34"/>
      <c r="K4" s="34"/>
      <c r="L4" s="34"/>
      <c r="M4" s="34"/>
      <c r="N4" s="34"/>
      <c r="O4" s="34"/>
      <c r="P4" s="34"/>
      <c r="Q4" s="34"/>
      <c r="R4" s="34"/>
      <c r="S4" s="34"/>
      <c r="T4" s="34"/>
      <c r="U4" s="34"/>
      <c r="V4" s="34"/>
      <c r="W4" s="34"/>
      <c r="X4" s="34"/>
    </row>
    <row r="5" spans="1:24" ht="42" customHeight="1" x14ac:dyDescent="0.25">
      <c r="A5" s="35"/>
      <c r="B5" s="39"/>
      <c r="C5" s="40"/>
      <c r="D5" s="41">
        <f>IFERROR(INDEX(MEN!$R:$R,MATCH(B5,MEN!$B:$B,0)),0)</f>
        <v>0</v>
      </c>
      <c r="E5" s="41">
        <f>IFERROR(INDEX(MEN!$R:$R,MATCH(C5,MEN!$B:$B,0)),0)</f>
        <v>0</v>
      </c>
      <c r="F5" s="41">
        <f t="shared" si="0"/>
        <v>0</v>
      </c>
      <c r="G5" s="33"/>
      <c r="H5" s="34"/>
      <c r="I5" s="34"/>
      <c r="J5" s="34"/>
      <c r="K5" s="34"/>
      <c r="L5" s="34"/>
      <c r="M5" s="34"/>
      <c r="N5" s="34"/>
      <c r="O5" s="34"/>
      <c r="P5" s="34"/>
      <c r="Q5" s="34"/>
      <c r="R5" s="34"/>
      <c r="S5" s="34"/>
      <c r="T5" s="34"/>
      <c r="U5" s="34"/>
      <c r="V5" s="34"/>
      <c r="W5" s="34"/>
      <c r="X5" s="34"/>
    </row>
    <row r="6" spans="1:24" ht="42" customHeight="1" x14ac:dyDescent="0.25">
      <c r="A6" s="35"/>
      <c r="B6" s="39"/>
      <c r="C6" s="40"/>
      <c r="D6" s="41">
        <f>IFERROR(INDEX(MEN!$R:$R,MATCH(B6,MEN!$B:$B,0)),0)</f>
        <v>0</v>
      </c>
      <c r="E6" s="41">
        <f>IFERROR(INDEX(MEN!$R:$R,MATCH(C6,MEN!$B:$B,0)),0)</f>
        <v>0</v>
      </c>
      <c r="F6" s="41">
        <f t="shared" si="0"/>
        <v>0</v>
      </c>
      <c r="G6" s="33"/>
      <c r="H6" s="34"/>
      <c r="I6" s="34"/>
      <c r="J6" s="34"/>
      <c r="K6" s="34"/>
      <c r="L6" s="34"/>
      <c r="M6" s="34"/>
      <c r="N6" s="34"/>
      <c r="O6" s="34"/>
      <c r="P6" s="34"/>
      <c r="Q6" s="34"/>
      <c r="R6" s="34"/>
      <c r="S6" s="34"/>
      <c r="T6" s="34"/>
      <c r="U6" s="34"/>
      <c r="V6" s="34"/>
      <c r="W6" s="34"/>
      <c r="X6" s="34"/>
    </row>
    <row r="7" spans="1:24" ht="42" customHeight="1" x14ac:dyDescent="0.25">
      <c r="A7" s="35"/>
      <c r="B7" s="39"/>
      <c r="C7" s="40"/>
      <c r="D7" s="41">
        <f>IFERROR(INDEX(MEN!$R:$R,MATCH(B7,MEN!$B:$B,0)),0)</f>
        <v>0</v>
      </c>
      <c r="E7" s="41">
        <f>IFERROR(INDEX(MEN!$R:$R,MATCH(C7,MEN!$B:$B,0)),0)</f>
        <v>0</v>
      </c>
      <c r="F7" s="41">
        <f t="shared" si="0"/>
        <v>0</v>
      </c>
      <c r="G7" s="33"/>
      <c r="H7" s="34"/>
      <c r="I7" s="34"/>
      <c r="J7" s="34"/>
      <c r="K7" s="34"/>
      <c r="L7" s="34"/>
      <c r="M7" s="34"/>
      <c r="N7" s="34"/>
      <c r="O7" s="34"/>
      <c r="P7" s="34"/>
      <c r="Q7" s="34"/>
      <c r="R7" s="34"/>
      <c r="S7" s="34"/>
      <c r="T7" s="34"/>
      <c r="U7" s="34"/>
      <c r="V7" s="34"/>
      <c r="W7" s="34"/>
      <c r="X7" s="34"/>
    </row>
    <row r="8" spans="1:24" ht="42" customHeight="1" x14ac:dyDescent="0.25">
      <c r="A8" s="35"/>
      <c r="B8" s="39"/>
      <c r="C8" s="40"/>
      <c r="D8" s="41">
        <f>IFERROR(INDEX(MEN!$R:$R,MATCH(B8,MEN!$B:$B,0)),0)</f>
        <v>0</v>
      </c>
      <c r="E8" s="41">
        <f>IFERROR(INDEX(MEN!$R:$R,MATCH(C8,MEN!$B:$B,0)),0)</f>
        <v>0</v>
      </c>
      <c r="F8" s="41">
        <f t="shared" si="0"/>
        <v>0</v>
      </c>
      <c r="G8" s="33"/>
      <c r="H8" s="34"/>
      <c r="I8" s="34"/>
      <c r="J8" s="34"/>
      <c r="K8" s="34"/>
      <c r="L8" s="34"/>
      <c r="M8" s="34"/>
      <c r="N8" s="34"/>
      <c r="O8" s="34"/>
      <c r="P8" s="34"/>
      <c r="Q8" s="34"/>
      <c r="R8" s="34"/>
      <c r="S8" s="34"/>
      <c r="T8" s="34"/>
      <c r="U8" s="34"/>
      <c r="V8" s="34"/>
      <c r="W8" s="34"/>
      <c r="X8" s="34"/>
    </row>
    <row r="9" spans="1:24" ht="42" customHeight="1" x14ac:dyDescent="0.25">
      <c r="A9" s="35"/>
      <c r="B9" s="39"/>
      <c r="C9" s="40"/>
      <c r="D9" s="41">
        <f>IFERROR(INDEX(MEN!$R:$R,MATCH(B9,MEN!$B:$B,0)),0)</f>
        <v>0</v>
      </c>
      <c r="E9" s="41">
        <f>IFERROR(INDEX(MEN!$R:$R,MATCH(C9,MEN!$B:$B,0)),0)</f>
        <v>0</v>
      </c>
      <c r="F9" s="41">
        <f t="shared" si="0"/>
        <v>0</v>
      </c>
      <c r="G9" s="33"/>
      <c r="H9" s="34"/>
      <c r="I9" s="34"/>
      <c r="J9" s="34"/>
      <c r="K9" s="34"/>
      <c r="L9" s="34"/>
      <c r="M9" s="34"/>
      <c r="N9" s="34"/>
      <c r="O9" s="34"/>
      <c r="P9" s="34"/>
      <c r="Q9" s="34"/>
      <c r="R9" s="34"/>
      <c r="S9" s="34"/>
      <c r="T9" s="34"/>
      <c r="U9" s="34"/>
      <c r="V9" s="34"/>
      <c r="W9" s="34"/>
      <c r="X9" s="34"/>
    </row>
    <row r="10" spans="1:24" ht="42" customHeight="1" x14ac:dyDescent="0.25">
      <c r="A10" s="35"/>
      <c r="B10" s="39"/>
      <c r="C10" s="39"/>
      <c r="D10" s="41">
        <f>IFERROR(INDEX(MEN!$R:$R,MATCH(B10,MEN!$B:$B,0)),0)</f>
        <v>0</v>
      </c>
      <c r="E10" s="41">
        <f>IFERROR(INDEX(MEN!$R:$R,MATCH(C10,MEN!$B:$B,0)),0)</f>
        <v>0</v>
      </c>
      <c r="F10" s="41">
        <f t="shared" si="0"/>
        <v>0</v>
      </c>
      <c r="G10" s="33"/>
      <c r="H10" s="34"/>
      <c r="I10" s="34"/>
      <c r="J10" s="34"/>
      <c r="K10" s="34"/>
      <c r="L10" s="34"/>
      <c r="M10" s="34"/>
      <c r="N10" s="34"/>
      <c r="O10" s="34"/>
      <c r="P10" s="34"/>
      <c r="Q10" s="34"/>
      <c r="R10" s="34"/>
      <c r="S10" s="34"/>
      <c r="T10" s="34"/>
      <c r="U10" s="34"/>
      <c r="V10" s="34"/>
      <c r="W10" s="34"/>
      <c r="X10" s="34"/>
    </row>
    <row r="11" spans="1:24" ht="42" customHeight="1" x14ac:dyDescent="0.25">
      <c r="A11" s="35"/>
      <c r="B11" s="39"/>
      <c r="C11" s="40"/>
      <c r="D11" s="41">
        <f>IFERROR(INDEX(MEN!$R:$R,MATCH(B11,MEN!$B:$B,0)),0)</f>
        <v>0</v>
      </c>
      <c r="E11" s="41">
        <f>IFERROR(INDEX(MEN!$R:$R,MATCH(C11,MEN!$B:$B,0)),0)</f>
        <v>0</v>
      </c>
      <c r="F11" s="41">
        <f t="shared" si="0"/>
        <v>0</v>
      </c>
      <c r="G11" s="33"/>
      <c r="H11" s="34"/>
      <c r="I11" s="34"/>
      <c r="J11" s="34"/>
      <c r="K11" s="34"/>
      <c r="L11" s="34"/>
      <c r="M11" s="34"/>
      <c r="N11" s="34"/>
      <c r="O11" s="34"/>
      <c r="P11" s="34"/>
      <c r="Q11" s="34"/>
      <c r="R11" s="34"/>
      <c r="S11" s="34"/>
      <c r="T11" s="34"/>
      <c r="U11" s="34"/>
      <c r="V11" s="34"/>
      <c r="W11" s="34"/>
      <c r="X11" s="34"/>
    </row>
    <row r="12" spans="1:24" ht="42" customHeight="1" x14ac:dyDescent="0.25">
      <c r="A12" s="35"/>
      <c r="B12" s="39"/>
      <c r="C12" s="40"/>
      <c r="D12" s="41">
        <f>IFERROR(INDEX(MEN!$R:$R,MATCH(B12,MEN!$B:$B,0)),0)</f>
        <v>0</v>
      </c>
      <c r="E12" s="41">
        <f>IFERROR(INDEX(MEN!$R:$R,MATCH(C12,MEN!$B:$B,0)),0)</f>
        <v>0</v>
      </c>
      <c r="F12" s="41">
        <f t="shared" si="0"/>
        <v>0</v>
      </c>
      <c r="G12" s="33"/>
      <c r="H12" s="34"/>
      <c r="I12" s="34"/>
      <c r="J12" s="34"/>
      <c r="K12" s="34"/>
      <c r="L12" s="34"/>
      <c r="M12" s="34"/>
      <c r="N12" s="34"/>
      <c r="O12" s="34"/>
      <c r="P12" s="34"/>
      <c r="Q12" s="34"/>
      <c r="R12" s="34"/>
      <c r="S12" s="34"/>
      <c r="T12" s="34"/>
      <c r="U12" s="34"/>
      <c r="V12" s="34"/>
      <c r="W12" s="34"/>
      <c r="X12" s="34"/>
    </row>
    <row r="13" spans="1:24" ht="42" customHeight="1" x14ac:dyDescent="0.25">
      <c r="A13" s="35"/>
      <c r="B13" s="39"/>
      <c r="C13" s="40"/>
      <c r="D13" s="41">
        <f>IFERROR(INDEX(MEN!$R:$R,MATCH(B13,MEN!$B:$B,0)),0)</f>
        <v>0</v>
      </c>
      <c r="E13" s="41">
        <f>IFERROR(INDEX(MEN!$R:$R,MATCH(C13,MEN!$B:$B,0)),0)</f>
        <v>0</v>
      </c>
      <c r="F13" s="41">
        <f t="shared" si="0"/>
        <v>0</v>
      </c>
      <c r="G13" s="33"/>
      <c r="H13" s="34"/>
      <c r="I13" s="34"/>
      <c r="J13" s="34"/>
      <c r="K13" s="34"/>
      <c r="L13" s="34"/>
      <c r="M13" s="34"/>
      <c r="N13" s="34"/>
      <c r="O13" s="34"/>
      <c r="P13" s="34"/>
      <c r="Q13" s="34"/>
      <c r="R13" s="34"/>
      <c r="S13" s="34"/>
      <c r="T13" s="34"/>
      <c r="U13" s="34"/>
      <c r="V13" s="34"/>
      <c r="W13" s="34"/>
      <c r="X13" s="34"/>
    </row>
    <row r="14" spans="1:24" ht="42" customHeight="1" x14ac:dyDescent="0.25">
      <c r="A14" s="35"/>
      <c r="B14" s="39"/>
      <c r="C14" s="40"/>
      <c r="D14" s="41">
        <f>IFERROR(INDEX(MEN!$R:$R,MATCH(B14,MEN!$B:$B,0)),0)</f>
        <v>0</v>
      </c>
      <c r="E14" s="41">
        <f>IFERROR(INDEX(MEN!$R:$R,MATCH(C14,MEN!$B:$B,0)),0)</f>
        <v>0</v>
      </c>
      <c r="F14" s="41">
        <f t="shared" si="0"/>
        <v>0</v>
      </c>
      <c r="G14" s="33"/>
      <c r="H14" s="34"/>
      <c r="I14" s="34"/>
      <c r="J14" s="34"/>
      <c r="K14" s="34"/>
      <c r="L14" s="34"/>
      <c r="M14" s="34"/>
      <c r="N14" s="34"/>
      <c r="O14" s="34"/>
      <c r="P14" s="34"/>
      <c r="Q14" s="34"/>
      <c r="R14" s="34"/>
      <c r="S14" s="34"/>
      <c r="T14" s="34"/>
      <c r="U14" s="34"/>
      <c r="V14" s="34"/>
      <c r="W14" s="34"/>
      <c r="X14" s="34"/>
    </row>
    <row r="15" spans="1:24" ht="42" customHeight="1" x14ac:dyDescent="0.25">
      <c r="A15" s="35"/>
      <c r="B15" s="39"/>
      <c r="C15" s="40"/>
      <c r="D15" s="41">
        <f>IFERROR(INDEX(MEN!$R:$R,MATCH(B15,MEN!$B:$B,0)),0)</f>
        <v>0</v>
      </c>
      <c r="E15" s="41">
        <f>IFERROR(INDEX(MEN!$R:$R,MATCH(C15,MEN!$B:$B,0)),0)</f>
        <v>0</v>
      </c>
      <c r="F15" s="41">
        <f t="shared" si="0"/>
        <v>0</v>
      </c>
      <c r="G15" s="33"/>
      <c r="H15" s="34"/>
      <c r="I15" s="34"/>
      <c r="J15" s="34"/>
      <c r="K15" s="34"/>
      <c r="L15" s="34"/>
      <c r="M15" s="34"/>
      <c r="N15" s="34"/>
      <c r="O15" s="34"/>
      <c r="P15" s="34"/>
      <c r="Q15" s="34"/>
      <c r="R15" s="34"/>
      <c r="S15" s="34"/>
      <c r="T15" s="34"/>
      <c r="U15" s="34"/>
      <c r="V15" s="34"/>
      <c r="W15" s="34"/>
      <c r="X15" s="34"/>
    </row>
    <row r="16" spans="1:24" ht="42" customHeight="1" x14ac:dyDescent="0.25">
      <c r="A16" s="35"/>
      <c r="B16" s="39"/>
      <c r="C16" s="40"/>
      <c r="D16" s="41">
        <f>IFERROR(INDEX(MEN!$R:$R,MATCH(B16,MEN!$B:$B,0)),0)</f>
        <v>0</v>
      </c>
      <c r="E16" s="41">
        <f>IFERROR(INDEX(MEN!$R:$R,MATCH(C16,MEN!$B:$B,0)),0)</f>
        <v>0</v>
      </c>
      <c r="F16" s="41">
        <f t="shared" si="0"/>
        <v>0</v>
      </c>
      <c r="G16" s="33"/>
      <c r="H16" s="34"/>
      <c r="I16" s="34"/>
      <c r="J16" s="34"/>
      <c r="K16" s="34"/>
      <c r="L16" s="34"/>
      <c r="M16" s="34"/>
      <c r="N16" s="34"/>
      <c r="O16" s="34"/>
      <c r="P16" s="34"/>
      <c r="Q16" s="34"/>
      <c r="R16" s="34"/>
      <c r="S16" s="34"/>
      <c r="T16" s="34"/>
      <c r="U16" s="34"/>
      <c r="V16" s="34"/>
      <c r="W16" s="34"/>
      <c r="X16" s="34"/>
    </row>
    <row r="17" spans="1:24" ht="42" customHeight="1" x14ac:dyDescent="0.25">
      <c r="A17" s="35"/>
      <c r="B17" s="39"/>
      <c r="C17" s="40"/>
      <c r="D17" s="41">
        <f>IFERROR(INDEX(MEN!$R:$R,MATCH(B17,MEN!$B:$B,0)),0)</f>
        <v>0</v>
      </c>
      <c r="E17" s="41">
        <f>IFERROR(INDEX(MEN!$R:$R,MATCH(C17,MEN!$B:$B,0)),0)</f>
        <v>0</v>
      </c>
      <c r="F17" s="41">
        <f t="shared" si="0"/>
        <v>0</v>
      </c>
      <c r="G17" s="33"/>
      <c r="H17" s="34"/>
      <c r="I17" s="34"/>
      <c r="J17" s="34"/>
      <c r="K17" s="34"/>
      <c r="L17" s="34"/>
      <c r="M17" s="34"/>
      <c r="N17" s="34"/>
      <c r="O17" s="34"/>
      <c r="P17" s="34"/>
      <c r="Q17" s="34"/>
      <c r="R17" s="34"/>
      <c r="S17" s="34"/>
      <c r="T17" s="34"/>
      <c r="U17" s="34"/>
      <c r="V17" s="34"/>
      <c r="W17" s="34"/>
      <c r="X17" s="34"/>
    </row>
    <row r="18" spans="1:24" ht="42" customHeight="1" x14ac:dyDescent="0.25">
      <c r="A18" s="35"/>
      <c r="B18" s="39"/>
      <c r="C18" s="40"/>
      <c r="D18" s="41">
        <f>IFERROR(INDEX(MEN!$R:$R,MATCH(B18,MEN!$B:$B,0)),0)</f>
        <v>0</v>
      </c>
      <c r="E18" s="41">
        <f>IFERROR(INDEX(MEN!$R:$R,MATCH(C18,MEN!$B:$B,0)),0)</f>
        <v>0</v>
      </c>
      <c r="F18" s="41">
        <f t="shared" si="0"/>
        <v>0</v>
      </c>
      <c r="G18" s="33"/>
      <c r="H18" s="34"/>
      <c r="I18" s="34"/>
      <c r="J18" s="34"/>
      <c r="K18" s="34"/>
      <c r="L18" s="34"/>
      <c r="M18" s="34"/>
      <c r="N18" s="34"/>
      <c r="O18" s="34"/>
      <c r="P18" s="34"/>
      <c r="Q18" s="34"/>
      <c r="R18" s="34"/>
      <c r="S18" s="34"/>
      <c r="T18" s="34"/>
      <c r="U18" s="34"/>
      <c r="V18" s="34"/>
      <c r="W18" s="34"/>
      <c r="X18" s="34"/>
    </row>
    <row r="19" spans="1:24" ht="42" customHeight="1" x14ac:dyDescent="0.25">
      <c r="A19" s="35"/>
      <c r="B19" s="39"/>
      <c r="C19" s="40"/>
      <c r="D19" s="41">
        <f>IFERROR(INDEX(MEN!$R:$R,MATCH(B19,MEN!$B:$B,0)),0)</f>
        <v>0</v>
      </c>
      <c r="E19" s="41">
        <f>IFERROR(INDEX(MEN!$R:$R,MATCH(C19,MEN!$B:$B,0)),0)</f>
        <v>0</v>
      </c>
      <c r="F19" s="41">
        <f t="shared" si="0"/>
        <v>0</v>
      </c>
      <c r="G19" s="33"/>
      <c r="H19" s="34"/>
      <c r="I19" s="34"/>
      <c r="J19" s="34"/>
      <c r="K19" s="34"/>
      <c r="L19" s="34"/>
      <c r="M19" s="34"/>
      <c r="N19" s="34"/>
      <c r="O19" s="34"/>
      <c r="P19" s="34"/>
      <c r="Q19" s="34"/>
      <c r="R19" s="34"/>
      <c r="S19" s="34"/>
      <c r="T19" s="34"/>
      <c r="U19" s="34"/>
      <c r="V19" s="34"/>
      <c r="W19" s="34"/>
      <c r="X19" s="34"/>
    </row>
    <row r="20" spans="1:24" ht="42" customHeight="1" x14ac:dyDescent="0.25">
      <c r="A20" s="35"/>
      <c r="B20" s="39"/>
      <c r="C20" s="40"/>
      <c r="D20" s="41">
        <f>IFERROR(INDEX(MEN!$R:$R,MATCH(B20,MEN!$B:$B,0)),0)</f>
        <v>0</v>
      </c>
      <c r="E20" s="41">
        <f>IFERROR(INDEX(MEN!$R:$R,MATCH(C20,MEN!$B:$B,0)),0)</f>
        <v>0</v>
      </c>
      <c r="F20" s="41">
        <f t="shared" si="0"/>
        <v>0</v>
      </c>
      <c r="G20" s="33"/>
      <c r="H20" s="34"/>
      <c r="I20" s="34"/>
      <c r="J20" s="34"/>
      <c r="K20" s="34"/>
      <c r="L20" s="34"/>
      <c r="M20" s="34"/>
      <c r="N20" s="34"/>
      <c r="O20" s="34"/>
      <c r="P20" s="34"/>
      <c r="Q20" s="34"/>
      <c r="R20" s="34"/>
      <c r="S20" s="34"/>
      <c r="T20" s="34"/>
      <c r="U20" s="34"/>
      <c r="V20" s="34"/>
      <c r="W20" s="34"/>
      <c r="X20" s="34"/>
    </row>
    <row r="21" spans="1:24" ht="42" customHeight="1" x14ac:dyDescent="0.25">
      <c r="A21" s="35"/>
      <c r="B21" s="39"/>
      <c r="C21" s="40"/>
      <c r="D21" s="41">
        <f>IFERROR(INDEX(MEN!$R:$R,MATCH(B21,MEN!$B:$B,0)),0)</f>
        <v>0</v>
      </c>
      <c r="E21" s="41">
        <f>IFERROR(INDEX(MEN!$R:$R,MATCH(C21,MEN!$B:$B,0)),0)</f>
        <v>0</v>
      </c>
      <c r="F21" s="41">
        <f t="shared" si="0"/>
        <v>0</v>
      </c>
      <c r="G21" s="33"/>
      <c r="H21" s="34"/>
      <c r="I21" s="34"/>
      <c r="J21" s="34"/>
      <c r="K21" s="34"/>
      <c r="L21" s="34"/>
      <c r="M21" s="34"/>
      <c r="N21" s="34"/>
      <c r="O21" s="34"/>
      <c r="P21" s="34"/>
      <c r="Q21" s="34"/>
      <c r="R21" s="34"/>
      <c r="S21" s="34"/>
      <c r="T21" s="34"/>
      <c r="U21" s="34"/>
      <c r="V21" s="34"/>
      <c r="W21" s="34"/>
      <c r="X21" s="34"/>
    </row>
    <row r="22" spans="1:24" ht="42" customHeight="1" x14ac:dyDescent="0.25">
      <c r="A22" s="35"/>
      <c r="B22" s="39"/>
      <c r="C22" s="40"/>
      <c r="D22" s="41">
        <f>IFERROR(INDEX(MEN!$R:$R,MATCH(B22,MEN!$B:$B,0)),0)</f>
        <v>0</v>
      </c>
      <c r="E22" s="41">
        <f>IFERROR(INDEX(MEN!$R:$R,MATCH(C22,MEN!$B:$B,0)),0)</f>
        <v>0</v>
      </c>
      <c r="F22" s="41">
        <f t="shared" si="0"/>
        <v>0</v>
      </c>
      <c r="G22" s="33"/>
      <c r="H22" s="34"/>
      <c r="I22" s="34"/>
      <c r="J22" s="34"/>
      <c r="K22" s="34"/>
      <c r="L22" s="34"/>
      <c r="M22" s="34"/>
      <c r="N22" s="34"/>
      <c r="O22" s="34"/>
      <c r="P22" s="34"/>
      <c r="Q22" s="34"/>
      <c r="R22" s="34"/>
      <c r="S22" s="34"/>
      <c r="T22" s="34"/>
      <c r="U22" s="34"/>
      <c r="V22" s="34"/>
      <c r="W22" s="34"/>
      <c r="X22" s="34"/>
    </row>
    <row r="23" spans="1:24" ht="42" customHeight="1" x14ac:dyDescent="0.25">
      <c r="A23" s="35"/>
      <c r="B23" s="39"/>
      <c r="C23" s="40"/>
      <c r="D23" s="41">
        <f>IFERROR(INDEX(MEN!$R:$R,MATCH(B23,MEN!$B:$B,0)),0)</f>
        <v>0</v>
      </c>
      <c r="E23" s="41">
        <f>IFERROR(INDEX(MEN!$R:$R,MATCH(C23,MEN!$B:$B,0)),0)</f>
        <v>0</v>
      </c>
      <c r="F23" s="41">
        <f t="shared" si="0"/>
        <v>0</v>
      </c>
      <c r="G23" s="33"/>
      <c r="H23" s="34"/>
      <c r="I23" s="34"/>
      <c r="J23" s="34"/>
      <c r="K23" s="34"/>
      <c r="L23" s="34"/>
      <c r="M23" s="34"/>
      <c r="N23" s="34"/>
      <c r="O23" s="34"/>
      <c r="P23" s="34"/>
      <c r="Q23" s="34"/>
      <c r="R23" s="34"/>
      <c r="S23" s="34"/>
      <c r="T23" s="34"/>
      <c r="U23" s="34"/>
      <c r="V23" s="34"/>
      <c r="W23" s="34"/>
      <c r="X23" s="34"/>
    </row>
    <row r="24" spans="1:24" ht="42" customHeight="1" x14ac:dyDescent="0.25">
      <c r="A24" s="35"/>
      <c r="B24" s="39"/>
      <c r="C24" s="40"/>
      <c r="D24" s="41">
        <f>IFERROR(INDEX(MEN!$R:$R,MATCH(B24,MEN!$B:$B,0)),0)</f>
        <v>0</v>
      </c>
      <c r="E24" s="41">
        <f>IFERROR(INDEX(MEN!$R:$R,MATCH(C24,MEN!$B:$B,0)),0)</f>
        <v>0</v>
      </c>
      <c r="F24" s="41">
        <f t="shared" si="0"/>
        <v>0</v>
      </c>
      <c r="G24" s="33"/>
      <c r="H24" s="34"/>
      <c r="I24" s="34"/>
      <c r="J24" s="34"/>
      <c r="K24" s="34"/>
      <c r="L24" s="34"/>
      <c r="M24" s="34"/>
      <c r="N24" s="34"/>
      <c r="O24" s="34"/>
      <c r="P24" s="34"/>
      <c r="Q24" s="34"/>
      <c r="R24" s="34"/>
      <c r="S24" s="34"/>
      <c r="T24" s="34"/>
      <c r="U24" s="34"/>
      <c r="V24" s="34"/>
      <c r="W24" s="34"/>
      <c r="X24" s="34"/>
    </row>
    <row r="25" spans="1:24" ht="42" customHeight="1" x14ac:dyDescent="0.25">
      <c r="A25" s="35"/>
      <c r="B25" s="39"/>
      <c r="C25" s="40"/>
      <c r="D25" s="41">
        <f>IFERROR(INDEX(MEN!$R:$R,MATCH(B25,MEN!$B:$B,0)),0)</f>
        <v>0</v>
      </c>
      <c r="E25" s="41">
        <f>IFERROR(INDEX(MEN!$R:$R,MATCH(C25,MEN!$B:$B,0)),0)</f>
        <v>0</v>
      </c>
      <c r="F25" s="41">
        <f t="shared" si="0"/>
        <v>0</v>
      </c>
      <c r="G25" s="33"/>
      <c r="H25" s="34"/>
      <c r="I25" s="34"/>
      <c r="J25" s="34"/>
      <c r="K25" s="34"/>
      <c r="L25" s="34"/>
      <c r="M25" s="34"/>
      <c r="N25" s="34"/>
      <c r="O25" s="34"/>
      <c r="P25" s="34"/>
      <c r="Q25" s="34"/>
      <c r="R25" s="34"/>
      <c r="S25" s="34"/>
      <c r="T25" s="34"/>
      <c r="U25" s="34"/>
      <c r="V25" s="34"/>
      <c r="W25" s="34"/>
      <c r="X25" s="34"/>
    </row>
    <row r="26" spans="1:24" ht="42" customHeight="1" x14ac:dyDescent="0.25">
      <c r="A26" s="35"/>
      <c r="B26" s="39"/>
      <c r="C26" s="40"/>
      <c r="D26" s="41">
        <f>IFERROR(INDEX(MEN!$R:$R,MATCH(B26,MEN!$B:$B,0)),0)</f>
        <v>0</v>
      </c>
      <c r="E26" s="41">
        <f>IFERROR(INDEX(MEN!$R:$R,MATCH(C26,MEN!$B:$B,0)),0)</f>
        <v>0</v>
      </c>
      <c r="F26" s="41">
        <f t="shared" si="0"/>
        <v>0</v>
      </c>
      <c r="G26" s="33"/>
      <c r="H26" s="34"/>
      <c r="I26" s="34"/>
      <c r="J26" s="34"/>
      <c r="K26" s="34"/>
      <c r="L26" s="34"/>
      <c r="M26" s="34"/>
      <c r="N26" s="34"/>
      <c r="O26" s="34"/>
      <c r="P26" s="34"/>
      <c r="Q26" s="34"/>
      <c r="R26" s="34"/>
      <c r="S26" s="34"/>
      <c r="T26" s="34"/>
      <c r="U26" s="34"/>
      <c r="V26" s="34"/>
      <c r="W26" s="34"/>
      <c r="X26" s="34"/>
    </row>
    <row r="27" spans="1:24" ht="42" customHeight="1" x14ac:dyDescent="0.25">
      <c r="A27" s="35"/>
      <c r="B27" s="39"/>
      <c r="C27" s="40"/>
      <c r="D27" s="41">
        <f>IFERROR(INDEX(MEN!$R:$R,MATCH(B27,MEN!$B:$B,0)),0)</f>
        <v>0</v>
      </c>
      <c r="E27" s="41">
        <f>IFERROR(INDEX(MEN!$R:$R,MATCH(C27,MEN!$B:$B,0)),0)</f>
        <v>0</v>
      </c>
      <c r="F27" s="41">
        <f t="shared" si="0"/>
        <v>0</v>
      </c>
      <c r="G27" s="33"/>
      <c r="H27" s="34"/>
      <c r="I27" s="34"/>
      <c r="J27" s="34"/>
      <c r="K27" s="34"/>
      <c r="L27" s="34"/>
      <c r="M27" s="34"/>
      <c r="N27" s="34"/>
      <c r="O27" s="34"/>
      <c r="P27" s="34"/>
      <c r="Q27" s="34"/>
      <c r="R27" s="34"/>
      <c r="S27" s="34"/>
      <c r="T27" s="34"/>
      <c r="U27" s="34"/>
      <c r="V27" s="34"/>
      <c r="W27" s="34"/>
      <c r="X27" s="34"/>
    </row>
    <row r="28" spans="1:24" ht="42" customHeight="1" x14ac:dyDescent="0.25">
      <c r="A28" s="35"/>
      <c r="B28" s="39"/>
      <c r="C28" s="40"/>
      <c r="D28" s="41">
        <f>IFERROR(INDEX(MEN!$R:$R,MATCH(B28,MEN!$B:$B,0)),0)</f>
        <v>0</v>
      </c>
      <c r="E28" s="41">
        <f>IFERROR(INDEX(MEN!$R:$R,MATCH(C28,MEN!$B:$B,0)),0)</f>
        <v>0</v>
      </c>
      <c r="F28" s="41">
        <f t="shared" si="0"/>
        <v>0</v>
      </c>
      <c r="G28" s="33"/>
      <c r="H28" s="34"/>
      <c r="I28" s="34"/>
      <c r="J28" s="34"/>
      <c r="K28" s="34"/>
      <c r="L28" s="34"/>
      <c r="M28" s="34"/>
      <c r="N28" s="34"/>
      <c r="O28" s="34"/>
      <c r="P28" s="34"/>
      <c r="Q28" s="34"/>
      <c r="R28" s="34"/>
      <c r="S28" s="34"/>
      <c r="T28" s="34"/>
      <c r="U28" s="34"/>
      <c r="V28" s="34"/>
      <c r="W28" s="34"/>
      <c r="X28" s="34"/>
    </row>
    <row r="29" spans="1:24" ht="42" customHeight="1" x14ac:dyDescent="0.25">
      <c r="A29" s="35"/>
      <c r="B29" s="39"/>
      <c r="C29" s="40"/>
      <c r="D29" s="41">
        <f>IFERROR(INDEX(MEN!$R:$R,MATCH(B29,MEN!$B:$B,0)),0)</f>
        <v>0</v>
      </c>
      <c r="E29" s="41">
        <f>IFERROR(INDEX(MEN!$R:$R,MATCH(C29,MEN!$B:$B,0)),0)</f>
        <v>0</v>
      </c>
      <c r="F29" s="41">
        <f t="shared" si="0"/>
        <v>0</v>
      </c>
      <c r="G29" s="33"/>
      <c r="H29" s="34"/>
      <c r="I29" s="34"/>
      <c r="J29" s="34"/>
      <c r="K29" s="34"/>
      <c r="L29" s="34"/>
      <c r="M29" s="34"/>
      <c r="N29" s="34"/>
      <c r="O29" s="34"/>
      <c r="P29" s="34"/>
      <c r="Q29" s="34"/>
      <c r="R29" s="34"/>
      <c r="S29" s="34"/>
      <c r="T29" s="34"/>
      <c r="U29" s="34"/>
      <c r="V29" s="34"/>
      <c r="W29" s="34"/>
      <c r="X29" s="34"/>
    </row>
    <row r="30" spans="1:24" ht="42" customHeight="1" x14ac:dyDescent="0.25">
      <c r="A30" s="35"/>
      <c r="B30" s="39"/>
      <c r="C30" s="40"/>
      <c r="D30" s="41">
        <f>IFERROR(INDEX(MEN!$R:$R,MATCH(B30,MEN!$B:$B,0)),0)</f>
        <v>0</v>
      </c>
      <c r="E30" s="41">
        <f>IFERROR(INDEX(MEN!$R:$R,MATCH(C30,MEN!$B:$B,0)),0)</f>
        <v>0</v>
      </c>
      <c r="F30" s="41">
        <f t="shared" si="0"/>
        <v>0</v>
      </c>
      <c r="G30" s="33"/>
      <c r="H30" s="34"/>
      <c r="I30" s="34"/>
      <c r="J30" s="34"/>
      <c r="K30" s="34"/>
      <c r="L30" s="34"/>
      <c r="M30" s="34"/>
      <c r="N30" s="34"/>
      <c r="O30" s="34"/>
      <c r="P30" s="34"/>
      <c r="Q30" s="34"/>
      <c r="R30" s="34"/>
      <c r="S30" s="34"/>
      <c r="T30" s="34"/>
      <c r="U30" s="34"/>
      <c r="V30" s="34"/>
      <c r="W30" s="34"/>
      <c r="X30" s="34"/>
    </row>
    <row r="31" spans="1:24" ht="42" customHeight="1" x14ac:dyDescent="0.25">
      <c r="A31" s="35"/>
      <c r="B31" s="39"/>
      <c r="C31" s="40"/>
      <c r="D31" s="41">
        <f>IFERROR(INDEX(MEN!$R:$R,MATCH(B31,MEN!$B:$B,0)),0)</f>
        <v>0</v>
      </c>
      <c r="E31" s="41">
        <f>IFERROR(INDEX(MEN!$R:$R,MATCH(C31,MEN!$B:$B,0)),0)</f>
        <v>0</v>
      </c>
      <c r="F31" s="41">
        <f t="shared" si="0"/>
        <v>0</v>
      </c>
      <c r="G31" s="33"/>
      <c r="H31" s="34"/>
      <c r="I31" s="34"/>
      <c r="J31" s="34"/>
      <c r="K31" s="34"/>
      <c r="L31" s="34"/>
      <c r="M31" s="34"/>
      <c r="N31" s="34"/>
      <c r="O31" s="34"/>
      <c r="P31" s="34"/>
      <c r="Q31" s="34"/>
      <c r="R31" s="34"/>
      <c r="S31" s="34"/>
      <c r="T31" s="34"/>
      <c r="U31" s="34"/>
      <c r="V31" s="34"/>
      <c r="W31" s="34"/>
      <c r="X31" s="34"/>
    </row>
    <row r="32" spans="1:24" ht="42" customHeight="1" x14ac:dyDescent="0.25">
      <c r="A32" s="35"/>
      <c r="B32" s="39"/>
      <c r="C32" s="40"/>
      <c r="D32" s="41">
        <f>IFERROR(INDEX(MEN!$R:$R,MATCH(B32,MEN!$B:$B,0)),0)</f>
        <v>0</v>
      </c>
      <c r="E32" s="41">
        <f>IFERROR(INDEX(MEN!$R:$R,MATCH(C32,MEN!$B:$B,0)),0)</f>
        <v>0</v>
      </c>
      <c r="F32" s="41">
        <f t="shared" si="0"/>
        <v>0</v>
      </c>
      <c r="G32" s="33"/>
      <c r="H32" s="33"/>
      <c r="I32" s="34"/>
      <c r="J32" s="34"/>
      <c r="K32" s="34"/>
      <c r="L32" s="34"/>
      <c r="M32" s="34"/>
      <c r="N32" s="34"/>
      <c r="O32" s="34"/>
      <c r="P32" s="34"/>
      <c r="Q32" s="34"/>
      <c r="R32" s="34"/>
      <c r="S32" s="34"/>
      <c r="T32" s="34"/>
      <c r="U32" s="34"/>
      <c r="V32" s="34"/>
      <c r="W32" s="34"/>
      <c r="X32" s="34"/>
    </row>
    <row r="33" spans="1:24" ht="42" customHeight="1" x14ac:dyDescent="0.25">
      <c r="A33" s="35"/>
      <c r="B33" s="39"/>
      <c r="C33" s="40"/>
      <c r="D33" s="41">
        <f>IFERROR(INDEX(MEN!$R:$R,MATCH(B33,MEN!$B:$B,0)),0)</f>
        <v>0</v>
      </c>
      <c r="E33" s="41">
        <f>IFERROR(INDEX(MEN!$R:$R,MATCH(C33,MEN!$B:$B,0)),0)</f>
        <v>0</v>
      </c>
      <c r="F33" s="41">
        <f t="shared" si="0"/>
        <v>0</v>
      </c>
      <c r="G33" s="33"/>
      <c r="H33" s="34"/>
      <c r="I33" s="34"/>
      <c r="J33" s="34"/>
      <c r="K33" s="34"/>
      <c r="L33" s="34"/>
      <c r="M33" s="34"/>
      <c r="N33" s="34"/>
      <c r="O33" s="34"/>
      <c r="P33" s="34"/>
      <c r="Q33" s="34"/>
      <c r="R33" s="34"/>
      <c r="S33" s="34"/>
      <c r="T33" s="34"/>
      <c r="U33" s="34"/>
      <c r="V33" s="34"/>
      <c r="W33" s="34"/>
      <c r="X33" s="34"/>
    </row>
    <row r="34" spans="1:24" ht="42" customHeight="1" x14ac:dyDescent="0.25">
      <c r="A34" s="35"/>
      <c r="B34" s="39"/>
      <c r="C34" s="40"/>
      <c r="D34" s="41">
        <f>IFERROR(INDEX(MEN!$R:$R,MATCH(B34,MEN!$B:$B,0)),0)</f>
        <v>0</v>
      </c>
      <c r="E34" s="41">
        <f>IFERROR(INDEX(MEN!$R:$R,MATCH(C34,MEN!$B:$B,0)),0)</f>
        <v>0</v>
      </c>
      <c r="F34" s="41">
        <f t="shared" si="0"/>
        <v>0</v>
      </c>
      <c r="G34" s="33"/>
      <c r="H34" s="34"/>
      <c r="I34" s="34"/>
      <c r="J34" s="34"/>
      <c r="K34" s="34"/>
      <c r="L34" s="34"/>
      <c r="M34" s="34"/>
      <c r="N34" s="34"/>
      <c r="O34" s="34"/>
      <c r="P34" s="34"/>
      <c r="Q34" s="34"/>
      <c r="R34" s="34"/>
      <c r="S34" s="34"/>
      <c r="T34" s="34"/>
      <c r="U34" s="34"/>
      <c r="V34" s="34"/>
      <c r="W34" s="34"/>
      <c r="X34" s="34"/>
    </row>
    <row r="35" spans="1:24" ht="42" customHeight="1" x14ac:dyDescent="0.25">
      <c r="A35" s="35"/>
      <c r="B35" s="39"/>
      <c r="C35" s="40"/>
      <c r="D35" s="41">
        <f>IFERROR(INDEX(MEN!$R:$R,MATCH(B35,MEN!$B:$B,0)),0)</f>
        <v>0</v>
      </c>
      <c r="E35" s="41">
        <f>IFERROR(INDEX(MEN!$R:$R,MATCH(C35,MEN!$B:$B,0)),0)</f>
        <v>0</v>
      </c>
      <c r="F35" s="41">
        <f t="shared" si="0"/>
        <v>0</v>
      </c>
      <c r="G35" s="33"/>
      <c r="H35" s="34"/>
      <c r="I35" s="34"/>
      <c r="J35" s="34"/>
      <c r="K35" s="34"/>
      <c r="L35" s="34"/>
      <c r="M35" s="34"/>
      <c r="N35" s="34"/>
      <c r="O35" s="34"/>
      <c r="P35" s="34"/>
      <c r="Q35" s="34"/>
      <c r="R35" s="34"/>
      <c r="S35" s="34"/>
      <c r="T35" s="34"/>
      <c r="U35" s="34"/>
      <c r="V35" s="34"/>
      <c r="W35" s="34"/>
      <c r="X35" s="34"/>
    </row>
    <row r="36" spans="1:24" ht="42" customHeight="1" x14ac:dyDescent="0.25">
      <c r="A36" s="35"/>
      <c r="B36" s="39"/>
      <c r="C36" s="40"/>
      <c r="D36" s="41">
        <f>IFERROR(INDEX(MEN!$R:$R,MATCH(B36,MEN!$B:$B,0)),0)</f>
        <v>0</v>
      </c>
      <c r="E36" s="41">
        <f>IFERROR(INDEX(MEN!$R:$R,MATCH(C36,MEN!$B:$B,0)),0)</f>
        <v>0</v>
      </c>
      <c r="F36" s="41">
        <f t="shared" si="0"/>
        <v>0</v>
      </c>
      <c r="G36" s="33"/>
      <c r="H36" s="34"/>
      <c r="I36" s="34"/>
      <c r="J36" s="34"/>
      <c r="K36" s="34"/>
      <c r="L36" s="34"/>
      <c r="M36" s="34"/>
      <c r="N36" s="34"/>
      <c r="O36" s="34"/>
      <c r="P36" s="34"/>
      <c r="Q36" s="34"/>
      <c r="R36" s="34"/>
      <c r="S36" s="34"/>
      <c r="T36" s="34"/>
      <c r="U36" s="34"/>
      <c r="V36" s="34"/>
      <c r="W36" s="34"/>
      <c r="X36" s="34"/>
    </row>
    <row r="37" spans="1:24" ht="42" customHeight="1" x14ac:dyDescent="0.25">
      <c r="A37" s="35"/>
      <c r="B37" s="39"/>
      <c r="C37" s="40"/>
      <c r="D37" s="41">
        <f>IFERROR(INDEX(MEN!$R:$R,MATCH(B37,MEN!$B:$B,0)),0)</f>
        <v>0</v>
      </c>
      <c r="E37" s="41">
        <f>IFERROR(INDEX(MEN!$R:$R,MATCH(C37,MEN!$B:$B,0)),0)</f>
        <v>0</v>
      </c>
      <c r="F37" s="41">
        <f t="shared" si="0"/>
        <v>0</v>
      </c>
      <c r="G37" s="33"/>
      <c r="H37" s="34"/>
      <c r="I37" s="34"/>
      <c r="J37" s="34"/>
      <c r="K37" s="34"/>
      <c r="L37" s="34"/>
      <c r="M37" s="34"/>
      <c r="N37" s="34"/>
      <c r="O37" s="34"/>
      <c r="P37" s="34"/>
      <c r="Q37" s="34"/>
      <c r="R37" s="34"/>
      <c r="S37" s="34"/>
      <c r="T37" s="34"/>
      <c r="U37" s="34"/>
      <c r="V37" s="34"/>
      <c r="W37" s="34"/>
      <c r="X37" s="34"/>
    </row>
    <row r="38" spans="1:24" ht="42" customHeight="1" x14ac:dyDescent="0.25">
      <c r="A38" s="35"/>
      <c r="B38" s="39"/>
      <c r="C38" s="40"/>
      <c r="D38" s="41">
        <f>IFERROR(INDEX(MEN!$R:$R,MATCH(B38,MEN!$B:$B,0)),0)</f>
        <v>0</v>
      </c>
      <c r="E38" s="41">
        <f>IFERROR(INDEX(MEN!$R:$R,MATCH(C38,MEN!$B:$B,0)),0)</f>
        <v>0</v>
      </c>
      <c r="F38" s="41">
        <f t="shared" si="0"/>
        <v>0</v>
      </c>
      <c r="G38" s="33"/>
      <c r="H38" s="34"/>
      <c r="I38" s="34"/>
      <c r="J38" s="34"/>
      <c r="K38" s="34"/>
      <c r="L38" s="34"/>
      <c r="M38" s="34"/>
      <c r="N38" s="34"/>
      <c r="O38" s="34"/>
      <c r="P38" s="34"/>
      <c r="Q38" s="34"/>
      <c r="R38" s="34"/>
      <c r="S38" s="34"/>
      <c r="T38" s="34"/>
      <c r="U38" s="34"/>
      <c r="V38" s="34"/>
      <c r="W38" s="34"/>
      <c r="X38" s="34"/>
    </row>
    <row r="39" spans="1:24" ht="42" customHeight="1" x14ac:dyDescent="0.25">
      <c r="A39" s="35"/>
      <c r="B39" s="39"/>
      <c r="C39" s="40"/>
      <c r="D39" s="41">
        <f>IFERROR(INDEX(MEN!$R:$R,MATCH(B39,MEN!$B:$B,0)),0)</f>
        <v>0</v>
      </c>
      <c r="E39" s="41">
        <f>IFERROR(INDEX(MEN!$R:$R,MATCH(C39,MEN!$B:$B,0)),0)</f>
        <v>0</v>
      </c>
      <c r="F39" s="41">
        <f t="shared" si="0"/>
        <v>0</v>
      </c>
      <c r="G39" s="33"/>
      <c r="H39" s="34"/>
      <c r="I39" s="34"/>
      <c r="J39" s="34"/>
      <c r="K39" s="34"/>
      <c r="L39" s="34"/>
      <c r="M39" s="34"/>
      <c r="N39" s="34"/>
      <c r="O39" s="34"/>
      <c r="P39" s="34"/>
      <c r="Q39" s="34"/>
      <c r="R39" s="34"/>
      <c r="S39" s="34"/>
      <c r="T39" s="34"/>
      <c r="U39" s="34"/>
      <c r="V39" s="34"/>
      <c r="W39" s="34"/>
      <c r="X39" s="34"/>
    </row>
    <row r="40" spans="1:24" ht="42" customHeight="1" x14ac:dyDescent="0.25">
      <c r="A40" s="35"/>
      <c r="B40" s="39"/>
      <c r="C40" s="40"/>
      <c r="D40" s="41">
        <f>IFERROR(INDEX(MEN!$R:$R,MATCH(B40,MEN!$B:$B,0)),0)</f>
        <v>0</v>
      </c>
      <c r="E40" s="41">
        <f>IFERROR(INDEX(MEN!$R:$R,MATCH(C40,MEN!$B:$B,0)),0)</f>
        <v>0</v>
      </c>
      <c r="F40" s="41">
        <f t="shared" si="0"/>
        <v>0</v>
      </c>
      <c r="G40" s="33"/>
      <c r="H40" s="34"/>
      <c r="I40" s="34"/>
      <c r="J40" s="34"/>
      <c r="K40" s="34"/>
      <c r="L40" s="34"/>
      <c r="M40" s="34"/>
      <c r="N40" s="34"/>
      <c r="O40" s="34"/>
      <c r="P40" s="34"/>
      <c r="Q40" s="34"/>
      <c r="R40" s="34"/>
      <c r="S40" s="34"/>
      <c r="T40" s="34"/>
      <c r="U40" s="34"/>
      <c r="V40" s="34"/>
      <c r="W40" s="34"/>
      <c r="X40" s="34"/>
    </row>
    <row r="41" spans="1:24" ht="42" customHeight="1" x14ac:dyDescent="0.25">
      <c r="A41" s="35"/>
      <c r="B41" s="39"/>
      <c r="C41" s="40"/>
      <c r="D41" s="41">
        <f>IFERROR(INDEX(MEN!$R:$R,MATCH(B41,MEN!$B:$B,0)),0)</f>
        <v>0</v>
      </c>
      <c r="E41" s="41">
        <f>IFERROR(INDEX(MEN!$R:$R,MATCH(C41,MEN!$B:$B,0)),0)</f>
        <v>0</v>
      </c>
      <c r="F41" s="41">
        <f t="shared" si="0"/>
        <v>0</v>
      </c>
      <c r="G41" s="33"/>
      <c r="H41" s="34"/>
      <c r="I41" s="34"/>
      <c r="J41" s="34"/>
      <c r="K41" s="34"/>
      <c r="L41" s="34"/>
      <c r="M41" s="34"/>
      <c r="N41" s="34"/>
      <c r="O41" s="34"/>
      <c r="P41" s="34"/>
      <c r="Q41" s="34"/>
      <c r="R41" s="34"/>
      <c r="S41" s="34"/>
      <c r="T41" s="34"/>
      <c r="U41" s="34"/>
      <c r="V41" s="34"/>
      <c r="W41" s="34"/>
      <c r="X41" s="34"/>
    </row>
    <row r="42" spans="1:24" ht="42" customHeight="1" x14ac:dyDescent="0.25">
      <c r="A42" s="35"/>
      <c r="B42" s="39"/>
      <c r="C42" s="40"/>
      <c r="D42" s="41">
        <f>IFERROR(INDEX(MEN!$R:$R,MATCH(B42,MEN!$B:$B,0)),0)</f>
        <v>0</v>
      </c>
      <c r="E42" s="41">
        <f>IFERROR(INDEX(MEN!$R:$R,MATCH(C42,MEN!$B:$B,0)),0)</f>
        <v>0</v>
      </c>
      <c r="F42" s="41">
        <f t="shared" si="0"/>
        <v>0</v>
      </c>
      <c r="G42" s="33"/>
      <c r="H42" s="34"/>
      <c r="I42" s="34"/>
      <c r="J42" s="34"/>
      <c r="K42" s="34"/>
      <c r="L42" s="34"/>
      <c r="M42" s="34"/>
      <c r="N42" s="34"/>
      <c r="O42" s="34"/>
      <c r="P42" s="34"/>
      <c r="Q42" s="34"/>
      <c r="R42" s="34"/>
      <c r="S42" s="34"/>
      <c r="T42" s="34"/>
      <c r="U42" s="34"/>
      <c r="V42" s="34"/>
      <c r="W42" s="34"/>
      <c r="X42" s="34"/>
    </row>
    <row r="43" spans="1:24" ht="42" customHeight="1" x14ac:dyDescent="0.25">
      <c r="A43" s="35"/>
      <c r="B43" s="39"/>
      <c r="C43" s="40"/>
      <c r="D43" s="41">
        <f>IFERROR(INDEX(MEN!$R:$R,MATCH(B43,MEN!$B:$B,0)),0)</f>
        <v>0</v>
      </c>
      <c r="E43" s="41">
        <f>IFERROR(INDEX(MEN!$R:$R,MATCH(C43,MEN!$B:$B,0)),0)</f>
        <v>0</v>
      </c>
      <c r="F43" s="41">
        <f t="shared" si="0"/>
        <v>0</v>
      </c>
      <c r="G43" s="33"/>
      <c r="H43" s="34"/>
      <c r="I43" s="34"/>
      <c r="J43" s="34"/>
      <c r="K43" s="34"/>
      <c r="L43" s="34"/>
      <c r="M43" s="34"/>
      <c r="N43" s="34"/>
      <c r="O43" s="34"/>
      <c r="P43" s="34"/>
      <c r="Q43" s="34"/>
      <c r="R43" s="34"/>
      <c r="S43" s="34"/>
      <c r="T43" s="34"/>
      <c r="U43" s="34"/>
      <c r="V43" s="34"/>
      <c r="W43" s="34"/>
      <c r="X43" s="34"/>
    </row>
    <row r="44" spans="1:24" ht="42" customHeight="1" x14ac:dyDescent="0.25">
      <c r="A44" s="35"/>
      <c r="B44" s="39"/>
      <c r="C44" s="40"/>
      <c r="D44" s="41">
        <f>IFERROR(INDEX(MEN!$R:$R,MATCH(B44,MEN!$B:$B,0)),0)</f>
        <v>0</v>
      </c>
      <c r="E44" s="41">
        <f>IFERROR(INDEX(MEN!$R:$R,MATCH(C44,MEN!$B:$B,0)),0)</f>
        <v>0</v>
      </c>
      <c r="F44" s="41">
        <f t="shared" si="0"/>
        <v>0</v>
      </c>
      <c r="G44" s="33"/>
      <c r="H44" s="34"/>
      <c r="I44" s="34"/>
      <c r="J44" s="34"/>
      <c r="K44" s="34"/>
      <c r="L44" s="34"/>
      <c r="M44" s="34"/>
      <c r="N44" s="34"/>
      <c r="O44" s="34"/>
      <c r="P44" s="34"/>
      <c r="Q44" s="34"/>
      <c r="R44" s="34"/>
      <c r="S44" s="34"/>
      <c r="T44" s="34"/>
      <c r="U44" s="34"/>
      <c r="V44" s="34"/>
      <c r="W44" s="34"/>
      <c r="X44" s="34"/>
    </row>
    <row r="45" spans="1:24" ht="42" customHeight="1" x14ac:dyDescent="0.25">
      <c r="A45" s="35"/>
      <c r="B45" s="39"/>
      <c r="C45" s="40"/>
      <c r="D45" s="41">
        <f>IFERROR(INDEX(MEN!$R:$R,MATCH(B45,MEN!$B:$B,0)),0)</f>
        <v>0</v>
      </c>
      <c r="E45" s="41">
        <f>IFERROR(INDEX(MEN!$R:$R,MATCH(C45,MEN!$B:$B,0)),0)</f>
        <v>0</v>
      </c>
      <c r="F45" s="41">
        <f t="shared" si="0"/>
        <v>0</v>
      </c>
      <c r="G45" s="33"/>
      <c r="H45" s="34"/>
      <c r="I45" s="34"/>
      <c r="J45" s="34"/>
      <c r="K45" s="34"/>
      <c r="L45" s="34"/>
      <c r="M45" s="34"/>
      <c r="N45" s="34"/>
      <c r="O45" s="34"/>
      <c r="P45" s="34"/>
      <c r="Q45" s="34"/>
      <c r="R45" s="34"/>
      <c r="S45" s="34"/>
      <c r="T45" s="34"/>
      <c r="U45" s="34"/>
      <c r="V45" s="34"/>
      <c r="W45" s="34"/>
      <c r="X45" s="34"/>
    </row>
    <row r="46" spans="1:24" ht="42" customHeight="1" x14ac:dyDescent="0.25">
      <c r="A46" s="35"/>
      <c r="B46" s="39"/>
      <c r="C46" s="40"/>
      <c r="D46" s="41">
        <f>IFERROR(INDEX(MEN!$R:$R,MATCH(B46,MEN!$B:$B,0)),0)</f>
        <v>0</v>
      </c>
      <c r="E46" s="41">
        <f>IFERROR(INDEX(MEN!$R:$R,MATCH(C46,MEN!$B:$B,0)),0)</f>
        <v>0</v>
      </c>
      <c r="F46" s="41">
        <f t="shared" si="0"/>
        <v>0</v>
      </c>
      <c r="G46" s="33"/>
      <c r="H46" s="34"/>
      <c r="I46" s="34"/>
      <c r="J46" s="34"/>
      <c r="K46" s="34"/>
      <c r="L46" s="34"/>
      <c r="M46" s="34"/>
      <c r="N46" s="34"/>
      <c r="O46" s="34"/>
      <c r="P46" s="34"/>
      <c r="Q46" s="34"/>
      <c r="R46" s="34"/>
      <c r="S46" s="34"/>
      <c r="T46" s="34"/>
      <c r="U46" s="34"/>
      <c r="V46" s="34"/>
      <c r="W46" s="34"/>
      <c r="X46" s="34"/>
    </row>
    <row r="47" spans="1:24" ht="42" customHeight="1" x14ac:dyDescent="0.25">
      <c r="A47" s="35"/>
      <c r="B47" s="39"/>
      <c r="C47" s="40"/>
      <c r="D47" s="41">
        <f>IFERROR(INDEX(MEN!$R:$R,MATCH(B47,MEN!$B:$B,0)),0)</f>
        <v>0</v>
      </c>
      <c r="E47" s="41">
        <f>IFERROR(INDEX(MEN!$R:$R,MATCH(C47,MEN!$B:$B,0)),0)</f>
        <v>0</v>
      </c>
      <c r="F47" s="41">
        <f t="shared" si="0"/>
        <v>0</v>
      </c>
      <c r="G47" s="33"/>
      <c r="H47" s="34"/>
      <c r="I47" s="34"/>
      <c r="J47" s="34"/>
      <c r="K47" s="34"/>
      <c r="L47" s="34"/>
      <c r="M47" s="34"/>
      <c r="N47" s="34"/>
      <c r="O47" s="34"/>
      <c r="P47" s="34"/>
      <c r="Q47" s="34"/>
      <c r="R47" s="34"/>
      <c r="S47" s="34"/>
      <c r="T47" s="34"/>
      <c r="U47" s="34"/>
      <c r="V47" s="34"/>
      <c r="W47" s="34"/>
      <c r="X47" s="34"/>
    </row>
    <row r="48" spans="1:24" ht="42" customHeight="1" x14ac:dyDescent="0.25">
      <c r="A48" s="35"/>
      <c r="B48" s="39"/>
      <c r="C48" s="40"/>
      <c r="D48" s="41">
        <f>IFERROR(INDEX(MEN!$R:$R,MATCH(B48,MEN!$B:$B,0)),0)</f>
        <v>0</v>
      </c>
      <c r="E48" s="41">
        <f>IFERROR(INDEX(MEN!$R:$R,MATCH(C48,MEN!$B:$B,0)),0)</f>
        <v>0</v>
      </c>
      <c r="F48" s="41">
        <f t="shared" si="0"/>
        <v>0</v>
      </c>
      <c r="G48" s="33"/>
      <c r="H48" s="34"/>
      <c r="I48" s="34"/>
      <c r="J48" s="34"/>
      <c r="K48" s="34"/>
      <c r="L48" s="34"/>
      <c r="M48" s="34"/>
      <c r="N48" s="34"/>
      <c r="O48" s="34"/>
      <c r="P48" s="34"/>
      <c r="Q48" s="34"/>
      <c r="R48" s="34"/>
      <c r="S48" s="34"/>
      <c r="T48" s="34"/>
      <c r="U48" s="34"/>
      <c r="V48" s="34"/>
      <c r="W48" s="34"/>
      <c r="X48" s="34"/>
    </row>
    <row r="49" spans="1:24" ht="42" customHeight="1" x14ac:dyDescent="0.25">
      <c r="A49" s="35"/>
      <c r="B49" s="39"/>
      <c r="C49" s="40"/>
      <c r="D49" s="41">
        <f>IFERROR(INDEX(MEN!$R:$R,MATCH(B49,MEN!$B:$B,0)),0)</f>
        <v>0</v>
      </c>
      <c r="E49" s="41">
        <f>IFERROR(INDEX(MEN!$R:$R,MATCH(C49,MEN!$B:$B,0)),0)</f>
        <v>0</v>
      </c>
      <c r="F49" s="41">
        <f t="shared" si="0"/>
        <v>0</v>
      </c>
      <c r="G49" s="33"/>
      <c r="H49" s="34"/>
      <c r="I49" s="34"/>
      <c r="J49" s="34"/>
      <c r="K49" s="34"/>
      <c r="L49" s="34"/>
      <c r="M49" s="34"/>
      <c r="N49" s="34"/>
      <c r="O49" s="34"/>
      <c r="P49" s="34"/>
      <c r="Q49" s="34"/>
      <c r="R49" s="34"/>
      <c r="S49" s="34"/>
      <c r="T49" s="34"/>
      <c r="U49" s="34"/>
      <c r="V49" s="34"/>
      <c r="W49" s="34"/>
      <c r="X49" s="34"/>
    </row>
  </sheetData>
  <mergeCells count="2">
    <mergeCell ref="A2:F2"/>
    <mergeCell ref="D3:E3"/>
  </mergeCells>
  <conditionalFormatting sqref="B1:C1048576">
    <cfRule type="duplicateValues" dxfId="2" priority="2"/>
  </conditionalFormatting>
  <pageMargins left="0.70833333333333304" right="0.70833333333333304" top="0.94513888888888897" bottom="0.74791666666666701" header="0.511811023622047" footer="0.511811023622047"/>
  <pageSetup paperSize="9" scale="37"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4" r:id="rId4" name="Button 1">
              <controlPr defaultSize="0" autoFill="0" autoPict="0" macro="Module1.SortAndRank" altText="Sort ">
                <anchor moveWithCells="1">
                  <from>
                    <xdr:col>6</xdr:col>
                    <xdr:colOff>66675</xdr:colOff>
                    <xdr:row>1</xdr:row>
                    <xdr:rowOff>104775</xdr:rowOff>
                  </from>
                  <to>
                    <xdr:col>7</xdr:col>
                    <xdr:colOff>171450</xdr:colOff>
                    <xdr:row>2</xdr:row>
                    <xdr:rowOff>-66675</xdr:rowOff>
                  </to>
                </anchor>
              </controlPr>
            </control>
          </mc:Choice>
        </mc:AlternateContent>
        <mc:AlternateContent xmlns:mc="http://schemas.openxmlformats.org/markup-compatibility/2006">
          <mc:Choice Requires="x14">
            <control shapeId="5125" r:id="rId5" name="Button 3">
              <controlPr defaultSize="0" autoFill="0" autoPict="0" macro="Module3.ExportToXLSX" altText="Export">
                <anchor moveWithCells="1">
                  <from>
                    <xdr:col>6</xdr:col>
                    <xdr:colOff>66675</xdr:colOff>
                    <xdr:row>2</xdr:row>
                    <xdr:rowOff>66675</xdr:rowOff>
                  </from>
                  <to>
                    <xdr:col>7</xdr:col>
                    <xdr:colOff>171450</xdr:colOff>
                    <xdr:row>3</xdr:row>
                    <xdr:rowOff>-104775</xdr:rowOff>
                  </to>
                </anchor>
              </controlPr>
            </control>
          </mc:Choice>
        </mc:AlternateContent>
        <mc:AlternateContent xmlns:mc="http://schemas.openxmlformats.org/markup-compatibility/2006">
          <mc:Choice Requires="x14">
            <control shapeId="5126" r:id="rId6" name="Button 2">
              <controlPr defaultSize="0" autoFill="0" autoPict="0" macro="Module2.ClearData" altText="Clear ">
                <anchor moveWithCells="1">
                  <from>
                    <xdr:col>6</xdr:col>
                    <xdr:colOff>66675</xdr:colOff>
                    <xdr:row>2</xdr:row>
                    <xdr:rowOff>514350</xdr:rowOff>
                  </from>
                  <to>
                    <xdr:col>7</xdr:col>
                    <xdr:colOff>171450</xdr:colOff>
                    <xdr:row>3</xdr:row>
                    <xdr:rowOff>342900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X49"/>
  <sheetViews>
    <sheetView view="pageBreakPreview" topLeftCell="A2" zoomScale="80" zoomScaleNormal="80" zoomScalePageLayoutView="80" workbookViewId="0">
      <selection activeCell="D4" sqref="D4"/>
    </sheetView>
  </sheetViews>
  <sheetFormatPr defaultColWidth="14.42578125" defaultRowHeight="15" x14ac:dyDescent="0.25"/>
  <cols>
    <col min="1" max="1" width="5.5703125" customWidth="1"/>
    <col min="2" max="3" width="60.7109375" customWidth="1"/>
    <col min="4" max="5" width="16.42578125" customWidth="1"/>
    <col min="6" max="6" width="15" customWidth="1"/>
    <col min="7" max="7" width="9.140625" customWidth="1"/>
    <col min="8" max="8" width="50" customWidth="1"/>
    <col min="9" max="24" width="8.7109375" customWidth="1"/>
  </cols>
  <sheetData>
    <row r="1" spans="1:24" hidden="1" x14ac:dyDescent="0.25"/>
    <row r="2" spans="1:24" ht="42" customHeight="1" x14ac:dyDescent="0.25">
      <c r="A2" s="53" t="s">
        <v>408</v>
      </c>
      <c r="B2" s="53"/>
      <c r="C2" s="53"/>
      <c r="D2" s="53"/>
      <c r="E2" s="53"/>
      <c r="F2" s="53"/>
      <c r="G2" s="33"/>
      <c r="H2" s="34"/>
      <c r="I2" s="34"/>
      <c r="J2" s="34"/>
      <c r="K2" s="34"/>
      <c r="L2" s="34"/>
      <c r="M2" s="34"/>
      <c r="N2" s="34"/>
      <c r="O2" s="34"/>
      <c r="P2" s="34"/>
      <c r="Q2" s="34"/>
      <c r="R2" s="34"/>
      <c r="S2" s="34"/>
      <c r="T2" s="34"/>
      <c r="U2" s="34"/>
      <c r="V2" s="34"/>
      <c r="W2" s="34"/>
      <c r="X2" s="34"/>
    </row>
    <row r="3" spans="1:24" ht="42" customHeight="1" x14ac:dyDescent="0.25">
      <c r="A3" s="35"/>
      <c r="B3" s="36" t="s">
        <v>409</v>
      </c>
      <c r="C3" s="37" t="s">
        <v>410</v>
      </c>
      <c r="D3" s="54" t="s">
        <v>451</v>
      </c>
      <c r="E3" s="54"/>
      <c r="F3" s="38" t="s">
        <v>17</v>
      </c>
      <c r="G3" s="33"/>
      <c r="H3" s="34"/>
      <c r="I3" s="34"/>
      <c r="J3" s="34"/>
      <c r="K3" s="34"/>
      <c r="L3" s="34"/>
      <c r="M3" s="34"/>
      <c r="N3" s="34"/>
      <c r="O3" s="34"/>
      <c r="P3" s="34"/>
      <c r="Q3" s="34"/>
      <c r="R3" s="34"/>
      <c r="S3" s="34"/>
      <c r="T3" s="34"/>
      <c r="U3" s="34"/>
      <c r="V3" s="34"/>
      <c r="W3" s="34"/>
      <c r="X3" s="34"/>
    </row>
    <row r="4" spans="1:24" ht="42" customHeight="1" x14ac:dyDescent="0.25">
      <c r="A4" s="35"/>
      <c r="B4" s="39"/>
      <c r="C4" s="40"/>
      <c r="D4" s="41">
        <f>IFERROR(INDEX(WOMEN!$R:$R,MATCH(B4,WOMEN!$B:$B,0)),0)</f>
        <v>0</v>
      </c>
      <c r="E4" s="41">
        <f>IFERROR(INDEX(WOMEN!$R:$R,MATCH(C4,WOMEN!$B:$B,0)),0)</f>
        <v>0</v>
      </c>
      <c r="F4" s="41">
        <f t="shared" ref="F4:F49" si="0">SUM(D4:E4)</f>
        <v>0</v>
      </c>
      <c r="G4" s="33"/>
      <c r="H4" s="34"/>
      <c r="I4" s="34"/>
      <c r="J4" s="34"/>
      <c r="K4" s="34"/>
      <c r="L4" s="34"/>
      <c r="M4" s="34"/>
      <c r="N4" s="34"/>
      <c r="O4" s="34"/>
      <c r="P4" s="34"/>
      <c r="Q4" s="34"/>
      <c r="R4" s="34"/>
      <c r="S4" s="34"/>
      <c r="T4" s="34"/>
      <c r="U4" s="34"/>
      <c r="V4" s="34"/>
      <c r="W4" s="34"/>
      <c r="X4" s="34"/>
    </row>
    <row r="5" spans="1:24" ht="42" customHeight="1" x14ac:dyDescent="0.25">
      <c r="A5" s="35"/>
      <c r="B5" s="39"/>
      <c r="C5" s="40"/>
      <c r="D5" s="41">
        <f>IFERROR(INDEX(WOMEN!$R:$R,MATCH(B5,WOMEN!$B:$B,0)),0)</f>
        <v>0</v>
      </c>
      <c r="E5" s="41">
        <f>IFERROR(INDEX(WOMEN!$R:$R,MATCH(C5,WOMEN!$B:$B,0)),0)</f>
        <v>0</v>
      </c>
      <c r="F5" s="41">
        <f t="shared" si="0"/>
        <v>0</v>
      </c>
      <c r="G5" s="33"/>
      <c r="I5" s="34"/>
      <c r="J5" s="34"/>
      <c r="K5" s="34"/>
      <c r="L5" s="34"/>
      <c r="M5" s="34"/>
      <c r="N5" s="34"/>
      <c r="O5" s="34"/>
      <c r="P5" s="34"/>
      <c r="Q5" s="34"/>
      <c r="R5" s="34"/>
      <c r="S5" s="34"/>
      <c r="T5" s="34"/>
      <c r="U5" s="34"/>
      <c r="V5" s="34"/>
      <c r="W5" s="34"/>
      <c r="X5" s="34"/>
    </row>
    <row r="6" spans="1:24" ht="42" customHeight="1" x14ac:dyDescent="0.25">
      <c r="A6" s="35"/>
      <c r="B6" s="39"/>
      <c r="C6" s="40"/>
      <c r="D6" s="41">
        <f>IFERROR(INDEX(WOMEN!$R:$R,MATCH(B6,WOMEN!$B:$B,0)),0)</f>
        <v>0</v>
      </c>
      <c r="E6" s="41">
        <f>IFERROR(INDEX(WOMEN!$R:$R,MATCH(C6,WOMEN!$B:$B,0)),0)</f>
        <v>0</v>
      </c>
      <c r="F6" s="41">
        <f t="shared" si="0"/>
        <v>0</v>
      </c>
      <c r="G6" s="33"/>
      <c r="H6" s="34"/>
      <c r="I6" s="34"/>
      <c r="J6" s="34"/>
      <c r="K6" s="34"/>
      <c r="L6" s="34"/>
      <c r="M6" s="34"/>
      <c r="N6" s="34"/>
      <c r="O6" s="34"/>
      <c r="P6" s="34"/>
      <c r="Q6" s="34"/>
      <c r="R6" s="34"/>
      <c r="S6" s="34"/>
      <c r="T6" s="34"/>
      <c r="U6" s="34"/>
      <c r="V6" s="34"/>
      <c r="W6" s="34"/>
      <c r="X6" s="34"/>
    </row>
    <row r="7" spans="1:24" ht="42" customHeight="1" x14ac:dyDescent="0.25">
      <c r="A7" s="35"/>
      <c r="B7" s="39"/>
      <c r="C7" s="40"/>
      <c r="D7" s="41">
        <f>IFERROR(INDEX(WOMEN!$R:$R,MATCH(B7,WOMEN!$B:$B,0)),0)</f>
        <v>0</v>
      </c>
      <c r="E7" s="41">
        <f>IFERROR(INDEX(WOMEN!$R:$R,MATCH(C7,WOMEN!$B:$B,0)),0)</f>
        <v>0</v>
      </c>
      <c r="F7" s="41">
        <f t="shared" si="0"/>
        <v>0</v>
      </c>
      <c r="G7" s="33"/>
      <c r="H7" s="34"/>
      <c r="I7" s="34"/>
      <c r="J7" s="34"/>
      <c r="K7" s="34"/>
      <c r="L7" s="34"/>
      <c r="M7" s="34"/>
      <c r="N7" s="34"/>
      <c r="O7" s="34"/>
      <c r="P7" s="34"/>
      <c r="Q7" s="34"/>
      <c r="R7" s="34"/>
      <c r="S7" s="34"/>
      <c r="T7" s="34"/>
      <c r="U7" s="34"/>
      <c r="V7" s="34"/>
      <c r="W7" s="34"/>
      <c r="X7" s="34"/>
    </row>
    <row r="8" spans="1:24" ht="42" customHeight="1" x14ac:dyDescent="0.25">
      <c r="A8" s="35"/>
      <c r="B8" s="40"/>
      <c r="C8" s="40"/>
      <c r="D8" s="41">
        <f>IFERROR(INDEX(WOMEN!$R:$R,MATCH(B8,WOMEN!$B:$B,0)),0)</f>
        <v>0</v>
      </c>
      <c r="E8" s="41">
        <f>IFERROR(INDEX(WOMEN!$R:$R,MATCH(C8,WOMEN!$B:$B,0)),0)</f>
        <v>0</v>
      </c>
      <c r="F8" s="41">
        <f t="shared" si="0"/>
        <v>0</v>
      </c>
      <c r="G8" s="33"/>
      <c r="H8" s="34"/>
      <c r="I8" s="34"/>
      <c r="J8" s="34"/>
      <c r="K8" s="34"/>
      <c r="L8" s="34"/>
      <c r="M8" s="34"/>
      <c r="N8" s="34"/>
      <c r="O8" s="34"/>
      <c r="P8" s="34"/>
      <c r="Q8" s="34"/>
      <c r="R8" s="34"/>
      <c r="S8" s="34"/>
      <c r="T8" s="34"/>
      <c r="U8" s="34"/>
      <c r="V8" s="34"/>
      <c r="W8" s="34"/>
      <c r="X8" s="34"/>
    </row>
    <row r="9" spans="1:24" ht="42" customHeight="1" x14ac:dyDescent="0.25">
      <c r="A9" s="35"/>
      <c r="B9" s="40"/>
      <c r="C9" s="40"/>
      <c r="D9" s="41">
        <f>IFERROR(INDEX(WOMEN!$R:$R,MATCH(B9,WOMEN!$B:$B,0)),0)</f>
        <v>0</v>
      </c>
      <c r="E9" s="41">
        <f>IFERROR(INDEX(WOMEN!$R:$R,MATCH(C9,WOMEN!$B:$B,0)),0)</f>
        <v>0</v>
      </c>
      <c r="F9" s="41">
        <f t="shared" si="0"/>
        <v>0</v>
      </c>
      <c r="G9" s="33"/>
      <c r="H9" s="34"/>
      <c r="I9" s="34"/>
      <c r="J9" s="34"/>
      <c r="K9" s="34"/>
      <c r="L9" s="34"/>
      <c r="M9" s="34"/>
      <c r="N9" s="34"/>
      <c r="O9" s="34"/>
      <c r="P9" s="34"/>
      <c r="Q9" s="34"/>
      <c r="R9" s="34"/>
      <c r="S9" s="34"/>
      <c r="T9" s="34"/>
      <c r="U9" s="34"/>
      <c r="V9" s="34"/>
      <c r="W9" s="34"/>
      <c r="X9" s="34"/>
    </row>
    <row r="10" spans="1:24" ht="42" customHeight="1" x14ac:dyDescent="0.25">
      <c r="A10" s="35"/>
      <c r="B10" s="39"/>
      <c r="C10" s="40"/>
      <c r="D10" s="41">
        <f>IFERROR(INDEX(WOMEN!$R:$R,MATCH(B10,WOMEN!$B:$B,0)),0)</f>
        <v>0</v>
      </c>
      <c r="E10" s="41">
        <f>IFERROR(INDEX(WOMEN!$R:$R,MATCH(C10,WOMEN!$B:$B,0)),0)</f>
        <v>0</v>
      </c>
      <c r="F10" s="41">
        <f t="shared" si="0"/>
        <v>0</v>
      </c>
      <c r="G10" s="33"/>
      <c r="H10" s="34"/>
      <c r="I10" s="34"/>
      <c r="J10" s="34"/>
      <c r="K10" s="34"/>
      <c r="L10" s="34"/>
      <c r="M10" s="34"/>
      <c r="N10" s="34"/>
      <c r="O10" s="34"/>
      <c r="P10" s="34"/>
      <c r="Q10" s="34"/>
      <c r="R10" s="34"/>
      <c r="S10" s="34"/>
      <c r="T10" s="34"/>
      <c r="U10" s="34"/>
      <c r="V10" s="34"/>
      <c r="W10" s="34"/>
      <c r="X10" s="34"/>
    </row>
    <row r="11" spans="1:24" ht="42" customHeight="1" x14ac:dyDescent="0.25">
      <c r="A11" s="35"/>
      <c r="B11" s="39"/>
      <c r="C11" s="40"/>
      <c r="D11" s="41">
        <f>IFERROR(INDEX(WOMEN!$R:$R,MATCH(B11,WOMEN!$B:$B,0)),0)</f>
        <v>0</v>
      </c>
      <c r="E11" s="41">
        <f>IFERROR(INDEX(WOMEN!$R:$R,MATCH(C11,WOMEN!$B:$B,0)),0)</f>
        <v>0</v>
      </c>
      <c r="F11" s="41">
        <f t="shared" si="0"/>
        <v>0</v>
      </c>
      <c r="G11" s="33"/>
      <c r="H11" s="34"/>
      <c r="I11" s="34"/>
      <c r="J11" s="34"/>
      <c r="K11" s="34"/>
      <c r="L11" s="34"/>
      <c r="M11" s="34"/>
      <c r="N11" s="34"/>
      <c r="O11" s="34"/>
      <c r="P11" s="34"/>
      <c r="Q11" s="34"/>
      <c r="R11" s="34"/>
      <c r="S11" s="34"/>
      <c r="T11" s="34"/>
      <c r="U11" s="34"/>
      <c r="V11" s="34"/>
      <c r="W11" s="34"/>
      <c r="X11" s="34"/>
    </row>
    <row r="12" spans="1:24" ht="42" customHeight="1" x14ac:dyDescent="0.25">
      <c r="A12" s="35"/>
      <c r="B12" s="39"/>
      <c r="C12" s="40"/>
      <c r="D12" s="41">
        <f>IFERROR(INDEX(WOMEN!$R:$R,MATCH(B12,WOMEN!$B:$B,0)),0)</f>
        <v>0</v>
      </c>
      <c r="E12" s="41">
        <f>IFERROR(INDEX(WOMEN!$R:$R,MATCH(C12,WOMEN!$B:$B,0)),0)</f>
        <v>0</v>
      </c>
      <c r="F12" s="41">
        <f t="shared" si="0"/>
        <v>0</v>
      </c>
      <c r="G12" s="33"/>
      <c r="H12" s="34"/>
      <c r="I12" s="34"/>
      <c r="J12" s="34"/>
      <c r="K12" s="34"/>
      <c r="L12" s="34"/>
      <c r="M12" s="34"/>
      <c r="N12" s="34"/>
      <c r="O12" s="34"/>
      <c r="P12" s="34"/>
      <c r="Q12" s="34"/>
      <c r="R12" s="34"/>
      <c r="S12" s="34"/>
      <c r="T12" s="34"/>
      <c r="U12" s="34"/>
      <c r="V12" s="34"/>
      <c r="W12" s="34"/>
      <c r="X12" s="34"/>
    </row>
    <row r="13" spans="1:24" ht="42" customHeight="1" x14ac:dyDescent="0.25">
      <c r="A13" s="35"/>
      <c r="B13" s="39"/>
      <c r="C13" s="40"/>
      <c r="D13" s="41">
        <f>IFERROR(INDEX(WOMEN!$R:$R,MATCH(B13,WOMEN!$B:$B,0)),0)</f>
        <v>0</v>
      </c>
      <c r="E13" s="41">
        <f>IFERROR(INDEX(WOMEN!$R:$R,MATCH(C13,WOMEN!$B:$B,0)),0)</f>
        <v>0</v>
      </c>
      <c r="F13" s="41">
        <f t="shared" si="0"/>
        <v>0</v>
      </c>
      <c r="G13" s="33"/>
      <c r="H13" s="34"/>
      <c r="I13" s="34"/>
      <c r="J13" s="34"/>
      <c r="K13" s="34"/>
      <c r="L13" s="34"/>
      <c r="M13" s="34"/>
      <c r="N13" s="34"/>
      <c r="O13" s="34"/>
      <c r="P13" s="34"/>
      <c r="Q13" s="34"/>
      <c r="R13" s="34"/>
      <c r="S13" s="34"/>
      <c r="T13" s="34"/>
      <c r="U13" s="34"/>
      <c r="V13" s="34"/>
      <c r="W13" s="34"/>
      <c r="X13" s="34"/>
    </row>
    <row r="14" spans="1:24" ht="42" customHeight="1" x14ac:dyDescent="0.25">
      <c r="A14" s="35"/>
      <c r="B14" s="39"/>
      <c r="C14" s="40"/>
      <c r="D14" s="41">
        <f>IFERROR(INDEX(WOMEN!$R:$R,MATCH(B14,WOMEN!$B:$B,0)),0)</f>
        <v>0</v>
      </c>
      <c r="E14" s="41">
        <f>IFERROR(INDEX(WOMEN!$R:$R,MATCH(C14,WOMEN!$B:$B,0)),0)</f>
        <v>0</v>
      </c>
      <c r="F14" s="41">
        <f t="shared" si="0"/>
        <v>0</v>
      </c>
      <c r="G14" s="33"/>
      <c r="H14" s="34"/>
      <c r="I14" s="34"/>
      <c r="J14" s="34"/>
      <c r="K14" s="34"/>
      <c r="L14" s="34"/>
      <c r="M14" s="34"/>
      <c r="N14" s="34"/>
      <c r="O14" s="34"/>
      <c r="P14" s="34"/>
      <c r="Q14" s="34"/>
      <c r="R14" s="34"/>
      <c r="S14" s="34"/>
      <c r="T14" s="34"/>
      <c r="U14" s="34"/>
      <c r="V14" s="34"/>
      <c r="W14" s="34"/>
      <c r="X14" s="34"/>
    </row>
    <row r="15" spans="1:24" ht="42" customHeight="1" x14ac:dyDescent="0.25">
      <c r="A15" s="35"/>
      <c r="B15" s="39"/>
      <c r="C15" s="40"/>
      <c r="D15" s="41">
        <f>IFERROR(INDEX(WOMEN!$R:$R,MATCH(B15,WOMEN!$B:$B,0)),0)</f>
        <v>0</v>
      </c>
      <c r="E15" s="41">
        <f>IFERROR(INDEX(WOMEN!$R:$R,MATCH(C15,WOMEN!$B:$B,0)),0)</f>
        <v>0</v>
      </c>
      <c r="F15" s="41">
        <f t="shared" si="0"/>
        <v>0</v>
      </c>
      <c r="G15" s="33"/>
      <c r="H15" s="34"/>
      <c r="I15" s="34"/>
      <c r="J15" s="34"/>
      <c r="K15" s="34"/>
      <c r="L15" s="34"/>
      <c r="M15" s="34"/>
      <c r="N15" s="34"/>
      <c r="O15" s="34"/>
      <c r="P15" s="34"/>
      <c r="Q15" s="34"/>
      <c r="R15" s="34"/>
      <c r="S15" s="34"/>
      <c r="T15" s="34"/>
      <c r="U15" s="34"/>
      <c r="V15" s="34"/>
      <c r="W15" s="34"/>
      <c r="X15" s="34"/>
    </row>
    <row r="16" spans="1:24" ht="42" customHeight="1" x14ac:dyDescent="0.25">
      <c r="A16" s="35"/>
      <c r="B16" s="39"/>
      <c r="C16" s="40"/>
      <c r="D16" s="41">
        <f>IFERROR(INDEX(WOMEN!$R:$R,MATCH(B16,WOMEN!$B:$B,0)),0)</f>
        <v>0</v>
      </c>
      <c r="E16" s="41">
        <f>IFERROR(INDEX(WOMEN!$R:$R,MATCH(C16,WOMEN!$B:$B,0)),0)</f>
        <v>0</v>
      </c>
      <c r="F16" s="41">
        <f t="shared" si="0"/>
        <v>0</v>
      </c>
      <c r="G16" s="33"/>
      <c r="H16" s="34"/>
      <c r="I16" s="34"/>
      <c r="J16" s="34"/>
      <c r="K16" s="34"/>
      <c r="L16" s="34"/>
      <c r="M16" s="34"/>
      <c r="N16" s="34"/>
      <c r="O16" s="34"/>
      <c r="P16" s="34"/>
      <c r="Q16" s="34"/>
      <c r="R16" s="34"/>
      <c r="S16" s="34"/>
      <c r="T16" s="34"/>
      <c r="U16" s="34"/>
      <c r="V16" s="34"/>
      <c r="W16" s="34"/>
      <c r="X16" s="34"/>
    </row>
    <row r="17" spans="1:24" ht="42" customHeight="1" x14ac:dyDescent="0.25">
      <c r="A17" s="35"/>
      <c r="B17" s="39"/>
      <c r="C17" s="40"/>
      <c r="D17" s="41">
        <f>IFERROR(INDEX(WOMEN!$R:$R,MATCH(B17,WOMEN!$B:$B,0)),0)</f>
        <v>0</v>
      </c>
      <c r="E17" s="41">
        <f>IFERROR(INDEX(WOMEN!$R:$R,MATCH(C17,WOMEN!$B:$B,0)),0)</f>
        <v>0</v>
      </c>
      <c r="F17" s="41">
        <f t="shared" si="0"/>
        <v>0</v>
      </c>
      <c r="G17" s="33"/>
      <c r="H17" s="34"/>
      <c r="I17" s="34"/>
      <c r="J17" s="34"/>
      <c r="K17" s="34"/>
      <c r="L17" s="34"/>
      <c r="M17" s="34"/>
      <c r="N17" s="34"/>
      <c r="O17" s="34"/>
      <c r="P17" s="34"/>
      <c r="Q17" s="34"/>
      <c r="R17" s="34"/>
      <c r="S17" s="34"/>
      <c r="T17" s="34"/>
      <c r="U17" s="34"/>
      <c r="V17" s="34"/>
      <c r="W17" s="34"/>
      <c r="X17" s="34"/>
    </row>
    <row r="18" spans="1:24" ht="42" customHeight="1" x14ac:dyDescent="0.25">
      <c r="A18" s="35"/>
      <c r="B18" s="39"/>
      <c r="C18" s="40"/>
      <c r="D18" s="41">
        <f>IFERROR(INDEX(WOMEN!$R:$R,MATCH(B18,WOMEN!$B:$B,0)),0)</f>
        <v>0</v>
      </c>
      <c r="E18" s="41">
        <f>IFERROR(INDEX(WOMEN!$R:$R,MATCH(C18,WOMEN!$B:$B,0)),0)</f>
        <v>0</v>
      </c>
      <c r="F18" s="41">
        <f t="shared" si="0"/>
        <v>0</v>
      </c>
      <c r="G18" s="33"/>
      <c r="H18" s="34"/>
      <c r="I18" s="34"/>
      <c r="J18" s="34"/>
      <c r="K18" s="34"/>
      <c r="L18" s="34"/>
      <c r="M18" s="34"/>
      <c r="N18" s="34"/>
      <c r="O18" s="34"/>
      <c r="P18" s="34"/>
      <c r="Q18" s="34"/>
      <c r="R18" s="34"/>
      <c r="S18" s="34"/>
      <c r="T18" s="34"/>
      <c r="U18" s="34"/>
      <c r="V18" s="34"/>
      <c r="W18" s="34"/>
      <c r="X18" s="34"/>
    </row>
    <row r="19" spans="1:24" ht="42" customHeight="1" x14ac:dyDescent="0.25">
      <c r="A19" s="35"/>
      <c r="B19" s="39"/>
      <c r="C19" s="40"/>
      <c r="D19" s="41">
        <f>IFERROR(INDEX(WOMEN!$R:$R,MATCH(B19,WOMEN!$B:$B,0)),0)</f>
        <v>0</v>
      </c>
      <c r="E19" s="41">
        <f>IFERROR(INDEX(WOMEN!$R:$R,MATCH(C19,WOMEN!$B:$B,0)),0)</f>
        <v>0</v>
      </c>
      <c r="F19" s="41">
        <f t="shared" si="0"/>
        <v>0</v>
      </c>
      <c r="G19" s="33"/>
      <c r="H19" s="34"/>
      <c r="I19" s="34"/>
      <c r="J19" s="34"/>
      <c r="K19" s="34"/>
      <c r="L19" s="34"/>
      <c r="M19" s="34"/>
      <c r="N19" s="34"/>
      <c r="O19" s="34"/>
      <c r="P19" s="34"/>
      <c r="Q19" s="34"/>
      <c r="R19" s="34"/>
      <c r="S19" s="34"/>
      <c r="T19" s="34"/>
      <c r="U19" s="34"/>
      <c r="V19" s="34"/>
      <c r="W19" s="34"/>
      <c r="X19" s="34"/>
    </row>
    <row r="20" spans="1:24" ht="42" customHeight="1" x14ac:dyDescent="0.25">
      <c r="A20" s="35"/>
      <c r="B20" s="39"/>
      <c r="C20" s="40"/>
      <c r="D20" s="41">
        <f>IFERROR(INDEX(WOMEN!$R:$R,MATCH(B20,WOMEN!$B:$B,0)),0)</f>
        <v>0</v>
      </c>
      <c r="E20" s="41">
        <f>IFERROR(INDEX(WOMEN!$R:$R,MATCH(C20,WOMEN!$B:$B,0)),0)</f>
        <v>0</v>
      </c>
      <c r="F20" s="41">
        <f t="shared" si="0"/>
        <v>0</v>
      </c>
      <c r="G20" s="33"/>
      <c r="H20" s="34"/>
      <c r="I20" s="34"/>
      <c r="J20" s="34"/>
      <c r="K20" s="34"/>
      <c r="L20" s="34"/>
      <c r="M20" s="34"/>
      <c r="N20" s="34"/>
      <c r="O20" s="34"/>
      <c r="P20" s="34"/>
      <c r="Q20" s="34"/>
      <c r="R20" s="34"/>
      <c r="S20" s="34"/>
      <c r="T20" s="34"/>
      <c r="U20" s="34"/>
      <c r="V20" s="34"/>
      <c r="W20" s="34"/>
      <c r="X20" s="34"/>
    </row>
    <row r="21" spans="1:24" ht="42" customHeight="1" x14ac:dyDescent="0.25">
      <c r="A21" s="35"/>
      <c r="B21" s="39"/>
      <c r="C21" s="40"/>
      <c r="D21" s="41">
        <f>IFERROR(INDEX(WOMEN!$R:$R,MATCH(B21,WOMEN!$B:$B,0)),0)</f>
        <v>0</v>
      </c>
      <c r="E21" s="41">
        <f>IFERROR(INDEX(WOMEN!$R:$R,MATCH(C21,WOMEN!$B:$B,0)),0)</f>
        <v>0</v>
      </c>
      <c r="F21" s="41">
        <f t="shared" si="0"/>
        <v>0</v>
      </c>
      <c r="G21" s="33"/>
      <c r="H21" s="34"/>
      <c r="I21" s="34"/>
      <c r="J21" s="34"/>
      <c r="K21" s="34"/>
      <c r="L21" s="34"/>
      <c r="M21" s="34"/>
      <c r="N21" s="34"/>
      <c r="O21" s="34"/>
      <c r="P21" s="34"/>
      <c r="Q21" s="34"/>
      <c r="R21" s="34"/>
      <c r="S21" s="34"/>
      <c r="T21" s="34"/>
      <c r="U21" s="34"/>
      <c r="V21" s="34"/>
      <c r="W21" s="34"/>
      <c r="X21" s="34"/>
    </row>
    <row r="22" spans="1:24" ht="42" customHeight="1" x14ac:dyDescent="0.25">
      <c r="A22" s="35"/>
      <c r="B22" s="39"/>
      <c r="C22" s="40"/>
      <c r="D22" s="41">
        <f>IFERROR(INDEX(WOMEN!$R:$R,MATCH(B22,WOMEN!$B:$B,0)),0)</f>
        <v>0</v>
      </c>
      <c r="E22" s="41">
        <f>IFERROR(INDEX(WOMEN!$R:$R,MATCH(C22,WOMEN!$B:$B,0)),0)</f>
        <v>0</v>
      </c>
      <c r="F22" s="41">
        <f t="shared" si="0"/>
        <v>0</v>
      </c>
      <c r="G22" s="33"/>
      <c r="H22" s="34"/>
      <c r="I22" s="34"/>
      <c r="J22" s="34"/>
      <c r="K22" s="34"/>
      <c r="L22" s="34"/>
      <c r="M22" s="34"/>
      <c r="N22" s="34"/>
      <c r="O22" s="34"/>
      <c r="P22" s="34"/>
      <c r="Q22" s="34"/>
      <c r="R22" s="34"/>
      <c r="S22" s="34"/>
      <c r="T22" s="34"/>
      <c r="U22" s="34"/>
      <c r="V22" s="34"/>
      <c r="W22" s="34"/>
      <c r="X22" s="34"/>
    </row>
    <row r="23" spans="1:24" ht="42" customHeight="1" x14ac:dyDescent="0.25">
      <c r="A23" s="35"/>
      <c r="B23" s="39"/>
      <c r="C23" s="40"/>
      <c r="D23" s="41">
        <f>IFERROR(INDEX(WOMEN!$R:$R,MATCH(B23,WOMEN!$B:$B,0)),0)</f>
        <v>0</v>
      </c>
      <c r="E23" s="41">
        <f>IFERROR(INDEX(WOMEN!$R:$R,MATCH(C23,WOMEN!$B:$B,0)),0)</f>
        <v>0</v>
      </c>
      <c r="F23" s="41">
        <f t="shared" si="0"/>
        <v>0</v>
      </c>
      <c r="G23" s="33"/>
      <c r="H23" s="34"/>
      <c r="I23" s="34"/>
      <c r="J23" s="34"/>
      <c r="K23" s="34"/>
      <c r="L23" s="34"/>
      <c r="M23" s="34"/>
      <c r="N23" s="34"/>
      <c r="O23" s="34"/>
      <c r="P23" s="34"/>
      <c r="Q23" s="34"/>
      <c r="R23" s="34"/>
      <c r="S23" s="34"/>
      <c r="T23" s="34"/>
      <c r="U23" s="34"/>
      <c r="V23" s="34"/>
      <c r="W23" s="34"/>
      <c r="X23" s="34"/>
    </row>
    <row r="24" spans="1:24" ht="42" customHeight="1" x14ac:dyDescent="0.25">
      <c r="A24" s="35"/>
      <c r="B24" s="39"/>
      <c r="C24" s="40"/>
      <c r="D24" s="41">
        <f>IFERROR(INDEX(WOMEN!$R:$R,MATCH(B24,WOMEN!$B:$B,0)),0)</f>
        <v>0</v>
      </c>
      <c r="E24" s="41">
        <f>IFERROR(INDEX(WOMEN!$R:$R,MATCH(C24,WOMEN!$B:$B,0)),0)</f>
        <v>0</v>
      </c>
      <c r="F24" s="41">
        <f t="shared" si="0"/>
        <v>0</v>
      </c>
      <c r="G24" s="33"/>
      <c r="H24" s="34"/>
      <c r="I24" s="34"/>
      <c r="J24" s="34"/>
      <c r="K24" s="34"/>
      <c r="L24" s="34"/>
      <c r="M24" s="34"/>
      <c r="N24" s="34"/>
      <c r="O24" s="34"/>
      <c r="P24" s="34"/>
      <c r="Q24" s="34"/>
      <c r="R24" s="34"/>
      <c r="S24" s="34"/>
      <c r="T24" s="34"/>
      <c r="U24" s="34"/>
      <c r="V24" s="34"/>
      <c r="W24" s="34"/>
      <c r="X24" s="34"/>
    </row>
    <row r="25" spans="1:24" ht="42" customHeight="1" x14ac:dyDescent="0.25">
      <c r="A25" s="35"/>
      <c r="B25" s="39"/>
      <c r="C25" s="40"/>
      <c r="D25" s="41">
        <f>IFERROR(INDEX(WOMEN!$R:$R,MATCH(B25,WOMEN!$B:$B,0)),0)</f>
        <v>0</v>
      </c>
      <c r="E25" s="41">
        <f>IFERROR(INDEX(WOMEN!$R:$R,MATCH(C25,WOMEN!$B:$B,0)),0)</f>
        <v>0</v>
      </c>
      <c r="F25" s="41">
        <f t="shared" si="0"/>
        <v>0</v>
      </c>
      <c r="G25" s="33"/>
      <c r="H25" s="34"/>
      <c r="I25" s="34"/>
      <c r="J25" s="34"/>
      <c r="K25" s="34"/>
      <c r="L25" s="34"/>
      <c r="M25" s="34"/>
      <c r="N25" s="34"/>
      <c r="O25" s="34"/>
      <c r="P25" s="34"/>
      <c r="Q25" s="34"/>
      <c r="R25" s="34"/>
      <c r="S25" s="34"/>
      <c r="T25" s="34"/>
      <c r="U25" s="34"/>
      <c r="V25" s="34"/>
      <c r="W25" s="34"/>
      <c r="X25" s="34"/>
    </row>
    <row r="26" spans="1:24" ht="42" customHeight="1" x14ac:dyDescent="0.25">
      <c r="A26" s="35"/>
      <c r="B26" s="39"/>
      <c r="C26" s="40"/>
      <c r="D26" s="41">
        <f>IFERROR(INDEX(WOMEN!$R:$R,MATCH(B26,WOMEN!$B:$B,0)),0)</f>
        <v>0</v>
      </c>
      <c r="E26" s="41">
        <f>IFERROR(INDEX(WOMEN!$R:$R,MATCH(C26,WOMEN!$B:$B,0)),0)</f>
        <v>0</v>
      </c>
      <c r="F26" s="41">
        <f t="shared" si="0"/>
        <v>0</v>
      </c>
      <c r="G26" s="33"/>
      <c r="H26" s="34"/>
      <c r="I26" s="34"/>
      <c r="J26" s="34"/>
      <c r="K26" s="34"/>
      <c r="L26" s="34"/>
      <c r="M26" s="34"/>
      <c r="N26" s="34"/>
      <c r="O26" s="34"/>
      <c r="P26" s="34"/>
      <c r="Q26" s="34"/>
      <c r="R26" s="34"/>
      <c r="S26" s="34"/>
      <c r="T26" s="34"/>
      <c r="U26" s="34"/>
      <c r="V26" s="34"/>
      <c r="W26" s="34"/>
      <c r="X26" s="34"/>
    </row>
    <row r="27" spans="1:24" ht="42" customHeight="1" x14ac:dyDescent="0.25">
      <c r="A27" s="35"/>
      <c r="B27" s="39"/>
      <c r="C27" s="40"/>
      <c r="D27" s="41">
        <f>IFERROR(INDEX(WOMEN!$R:$R,MATCH(B27,WOMEN!$B:$B,0)),0)</f>
        <v>0</v>
      </c>
      <c r="E27" s="41">
        <f>IFERROR(INDEX(WOMEN!$R:$R,MATCH(C27,WOMEN!$B:$B,0)),0)</f>
        <v>0</v>
      </c>
      <c r="F27" s="41">
        <f t="shared" si="0"/>
        <v>0</v>
      </c>
      <c r="G27" s="33"/>
      <c r="H27" s="34"/>
      <c r="I27" s="34"/>
      <c r="J27" s="34"/>
      <c r="K27" s="34"/>
      <c r="L27" s="34"/>
      <c r="M27" s="34"/>
      <c r="N27" s="34"/>
      <c r="O27" s="34"/>
      <c r="P27" s="34"/>
      <c r="Q27" s="34"/>
      <c r="R27" s="34"/>
      <c r="S27" s="34"/>
      <c r="T27" s="34"/>
      <c r="U27" s="34"/>
      <c r="V27" s="34"/>
      <c r="W27" s="34"/>
      <c r="X27" s="34"/>
    </row>
    <row r="28" spans="1:24" ht="42" customHeight="1" x14ac:dyDescent="0.25">
      <c r="A28" s="35"/>
      <c r="B28" s="39"/>
      <c r="C28" s="40"/>
      <c r="D28" s="41">
        <f>IFERROR(INDEX(WOMEN!$R:$R,MATCH(B28,WOMEN!$B:$B,0)),0)</f>
        <v>0</v>
      </c>
      <c r="E28" s="41">
        <f>IFERROR(INDEX(WOMEN!$R:$R,MATCH(C28,WOMEN!$B:$B,0)),0)</f>
        <v>0</v>
      </c>
      <c r="F28" s="41">
        <f t="shared" si="0"/>
        <v>0</v>
      </c>
      <c r="G28" s="33"/>
      <c r="H28" s="34"/>
      <c r="I28" s="34"/>
      <c r="J28" s="34"/>
      <c r="K28" s="34"/>
      <c r="L28" s="34"/>
      <c r="M28" s="34"/>
      <c r="N28" s="34"/>
      <c r="O28" s="34"/>
      <c r="P28" s="34"/>
      <c r="Q28" s="34"/>
      <c r="R28" s="34"/>
      <c r="S28" s="34"/>
      <c r="T28" s="34"/>
      <c r="U28" s="34"/>
      <c r="V28" s="34"/>
      <c r="W28" s="34"/>
      <c r="X28" s="34"/>
    </row>
    <row r="29" spans="1:24" ht="42" customHeight="1" x14ac:dyDescent="0.25">
      <c r="A29" s="35"/>
      <c r="B29" s="39"/>
      <c r="C29" s="40"/>
      <c r="D29" s="41">
        <f>IFERROR(INDEX(WOMEN!$R:$R,MATCH(B29,WOMEN!$B:$B,0)),0)</f>
        <v>0</v>
      </c>
      <c r="E29" s="41">
        <f>IFERROR(INDEX(WOMEN!$R:$R,MATCH(C29,WOMEN!$B:$B,0)),0)</f>
        <v>0</v>
      </c>
      <c r="F29" s="41">
        <f t="shared" si="0"/>
        <v>0</v>
      </c>
      <c r="G29" s="33"/>
      <c r="H29" s="34"/>
      <c r="I29" s="34"/>
      <c r="J29" s="34"/>
      <c r="K29" s="34"/>
      <c r="L29" s="34"/>
      <c r="M29" s="34"/>
      <c r="N29" s="34"/>
      <c r="O29" s="34"/>
      <c r="P29" s="34"/>
      <c r="Q29" s="34"/>
      <c r="R29" s="34"/>
      <c r="S29" s="34"/>
      <c r="T29" s="34"/>
      <c r="U29" s="34"/>
      <c r="V29" s="34"/>
      <c r="W29" s="34"/>
      <c r="X29" s="34"/>
    </row>
    <row r="30" spans="1:24" ht="42" customHeight="1" x14ac:dyDescent="0.25">
      <c r="A30" s="35"/>
      <c r="B30" s="39"/>
      <c r="C30" s="40"/>
      <c r="D30" s="41">
        <f>IFERROR(INDEX(WOMEN!$R:$R,MATCH(B30,WOMEN!$B:$B,0)),0)</f>
        <v>0</v>
      </c>
      <c r="E30" s="41">
        <f>IFERROR(INDEX(WOMEN!$R:$R,MATCH(C30,WOMEN!$B:$B,0)),0)</f>
        <v>0</v>
      </c>
      <c r="F30" s="41">
        <f t="shared" si="0"/>
        <v>0</v>
      </c>
      <c r="G30" s="33"/>
      <c r="H30" s="34"/>
      <c r="I30" s="34"/>
      <c r="J30" s="34"/>
      <c r="K30" s="34"/>
      <c r="L30" s="34"/>
      <c r="M30" s="34"/>
      <c r="N30" s="34"/>
      <c r="O30" s="34"/>
      <c r="P30" s="34"/>
      <c r="Q30" s="34"/>
      <c r="R30" s="34"/>
      <c r="S30" s="34"/>
      <c r="T30" s="34"/>
      <c r="U30" s="34"/>
      <c r="V30" s="34"/>
      <c r="W30" s="34"/>
      <c r="X30" s="34"/>
    </row>
    <row r="31" spans="1:24" ht="42" customHeight="1" x14ac:dyDescent="0.25">
      <c r="A31" s="35"/>
      <c r="B31" s="39"/>
      <c r="C31" s="40"/>
      <c r="D31" s="41">
        <f>IFERROR(INDEX(WOMEN!$R:$R,MATCH(B31,WOMEN!$B:$B,0)),0)</f>
        <v>0</v>
      </c>
      <c r="E31" s="41">
        <f>IFERROR(INDEX(WOMEN!$R:$R,MATCH(C31,WOMEN!$B:$B,0)),0)</f>
        <v>0</v>
      </c>
      <c r="F31" s="41">
        <f t="shared" si="0"/>
        <v>0</v>
      </c>
      <c r="G31" s="33"/>
      <c r="H31" s="34"/>
      <c r="I31" s="34"/>
      <c r="J31" s="34"/>
      <c r="K31" s="34"/>
      <c r="L31" s="34"/>
      <c r="M31" s="34"/>
      <c r="N31" s="34"/>
      <c r="O31" s="34"/>
      <c r="P31" s="34"/>
      <c r="Q31" s="34"/>
      <c r="R31" s="34"/>
      <c r="S31" s="34"/>
      <c r="T31" s="34"/>
      <c r="U31" s="34"/>
      <c r="V31" s="34"/>
      <c r="W31" s="34"/>
      <c r="X31" s="34"/>
    </row>
    <row r="32" spans="1:24" ht="42" customHeight="1" x14ac:dyDescent="0.25">
      <c r="A32" s="35"/>
      <c r="B32" s="39"/>
      <c r="C32" s="40"/>
      <c r="D32" s="41">
        <f>IFERROR(INDEX(WOMEN!$R:$R,MATCH(B32,WOMEN!$B:$B,0)),0)</f>
        <v>0</v>
      </c>
      <c r="E32" s="41">
        <f>IFERROR(INDEX(WOMEN!$R:$R,MATCH(C32,WOMEN!$B:$B,0)),0)</f>
        <v>0</v>
      </c>
      <c r="F32" s="41">
        <f t="shared" si="0"/>
        <v>0</v>
      </c>
      <c r="G32" s="33"/>
      <c r="H32" s="33"/>
      <c r="I32" s="34"/>
      <c r="J32" s="34"/>
      <c r="K32" s="34"/>
      <c r="L32" s="34"/>
      <c r="M32" s="34"/>
      <c r="N32" s="34"/>
      <c r="O32" s="34"/>
      <c r="P32" s="34"/>
      <c r="Q32" s="34"/>
      <c r="R32" s="34"/>
      <c r="S32" s="34"/>
      <c r="T32" s="34"/>
      <c r="U32" s="34"/>
      <c r="V32" s="34"/>
      <c r="W32" s="34"/>
      <c r="X32" s="34"/>
    </row>
    <row r="33" spans="1:24" ht="42" customHeight="1" x14ac:dyDescent="0.25">
      <c r="A33" s="35"/>
      <c r="B33" s="39"/>
      <c r="C33" s="40"/>
      <c r="D33" s="41">
        <f>IFERROR(INDEX(WOMEN!$R:$R,MATCH(B33,WOMEN!$B:$B,0)),0)</f>
        <v>0</v>
      </c>
      <c r="E33" s="41">
        <f>IFERROR(INDEX(WOMEN!$R:$R,MATCH(C33,WOMEN!$B:$B,0)),0)</f>
        <v>0</v>
      </c>
      <c r="F33" s="41">
        <f t="shared" si="0"/>
        <v>0</v>
      </c>
      <c r="G33" s="33"/>
      <c r="H33" s="34"/>
      <c r="I33" s="34"/>
      <c r="J33" s="34"/>
      <c r="K33" s="34"/>
      <c r="L33" s="34"/>
      <c r="M33" s="34"/>
      <c r="N33" s="34"/>
      <c r="O33" s="34"/>
      <c r="P33" s="34"/>
      <c r="Q33" s="34"/>
      <c r="R33" s="34"/>
      <c r="S33" s="34"/>
      <c r="T33" s="34"/>
      <c r="U33" s="34"/>
      <c r="V33" s="34"/>
      <c r="W33" s="34"/>
      <c r="X33" s="34"/>
    </row>
    <row r="34" spans="1:24" ht="42" customHeight="1" x14ac:dyDescent="0.25">
      <c r="A34" s="35"/>
      <c r="B34" s="39"/>
      <c r="C34" s="40"/>
      <c r="D34" s="41">
        <f>IFERROR(INDEX(WOMEN!$R:$R,MATCH(B34,WOMEN!$B:$B,0)),0)</f>
        <v>0</v>
      </c>
      <c r="E34" s="41">
        <f>IFERROR(INDEX(WOMEN!$R:$R,MATCH(C34,WOMEN!$B:$B,0)),0)</f>
        <v>0</v>
      </c>
      <c r="F34" s="41">
        <f t="shared" si="0"/>
        <v>0</v>
      </c>
      <c r="G34" s="33"/>
      <c r="H34" s="34"/>
      <c r="I34" s="34"/>
      <c r="J34" s="34"/>
      <c r="K34" s="34"/>
      <c r="L34" s="34"/>
      <c r="M34" s="34"/>
      <c r="N34" s="34"/>
      <c r="O34" s="34"/>
      <c r="P34" s="34"/>
      <c r="Q34" s="34"/>
      <c r="R34" s="34"/>
      <c r="S34" s="34"/>
      <c r="T34" s="34"/>
      <c r="U34" s="34"/>
      <c r="V34" s="34"/>
      <c r="W34" s="34"/>
      <c r="X34" s="34"/>
    </row>
    <row r="35" spans="1:24" ht="42" customHeight="1" x14ac:dyDescent="0.25">
      <c r="A35" s="35"/>
      <c r="B35" s="39"/>
      <c r="C35" s="40"/>
      <c r="D35" s="41">
        <f>IFERROR(INDEX(WOMEN!$R:$R,MATCH(B35,WOMEN!$B:$B,0)),0)</f>
        <v>0</v>
      </c>
      <c r="E35" s="41">
        <f>IFERROR(INDEX(WOMEN!$R:$R,MATCH(C35,WOMEN!$B:$B,0)),0)</f>
        <v>0</v>
      </c>
      <c r="F35" s="41">
        <f t="shared" si="0"/>
        <v>0</v>
      </c>
      <c r="G35" s="33"/>
      <c r="H35" s="34"/>
      <c r="I35" s="34"/>
      <c r="J35" s="34"/>
      <c r="K35" s="34"/>
      <c r="L35" s="34"/>
      <c r="M35" s="34"/>
      <c r="N35" s="34"/>
      <c r="O35" s="34"/>
      <c r="P35" s="34"/>
      <c r="Q35" s="34"/>
      <c r="R35" s="34"/>
      <c r="S35" s="34"/>
      <c r="T35" s="34"/>
      <c r="U35" s="34"/>
      <c r="V35" s="34"/>
      <c r="W35" s="34"/>
      <c r="X35" s="34"/>
    </row>
    <row r="36" spans="1:24" ht="42" customHeight="1" x14ac:dyDescent="0.25">
      <c r="A36" s="35"/>
      <c r="B36" s="39"/>
      <c r="C36" s="40"/>
      <c r="D36" s="41">
        <f>IFERROR(INDEX(WOMEN!$R:$R,MATCH(B36,WOMEN!$B:$B,0)),0)</f>
        <v>0</v>
      </c>
      <c r="E36" s="41">
        <f>IFERROR(INDEX(WOMEN!$R:$R,MATCH(C36,WOMEN!$B:$B,0)),0)</f>
        <v>0</v>
      </c>
      <c r="F36" s="41">
        <f t="shared" si="0"/>
        <v>0</v>
      </c>
      <c r="G36" s="33"/>
      <c r="H36" s="34"/>
      <c r="I36" s="34"/>
      <c r="J36" s="34"/>
      <c r="K36" s="34"/>
      <c r="L36" s="34"/>
      <c r="M36" s="34"/>
      <c r="N36" s="34"/>
      <c r="O36" s="34"/>
      <c r="P36" s="34"/>
      <c r="Q36" s="34"/>
      <c r="R36" s="34"/>
      <c r="S36" s="34"/>
      <c r="T36" s="34"/>
      <c r="U36" s="34"/>
      <c r="V36" s="34"/>
      <c r="W36" s="34"/>
      <c r="X36" s="34"/>
    </row>
    <row r="37" spans="1:24" ht="42" customHeight="1" x14ac:dyDescent="0.25">
      <c r="A37" s="35"/>
      <c r="B37" s="39"/>
      <c r="C37" s="40"/>
      <c r="D37" s="41">
        <f>IFERROR(INDEX(WOMEN!$R:$R,MATCH(B37,WOMEN!$B:$B,0)),0)</f>
        <v>0</v>
      </c>
      <c r="E37" s="41">
        <f>IFERROR(INDEX(WOMEN!$R:$R,MATCH(C37,WOMEN!$B:$B,0)),0)</f>
        <v>0</v>
      </c>
      <c r="F37" s="41">
        <f t="shared" si="0"/>
        <v>0</v>
      </c>
      <c r="G37" s="33"/>
      <c r="H37" s="34"/>
      <c r="I37" s="34"/>
      <c r="J37" s="34"/>
      <c r="K37" s="34"/>
      <c r="L37" s="34"/>
      <c r="M37" s="34"/>
      <c r="N37" s="34"/>
      <c r="O37" s="34"/>
      <c r="P37" s="34"/>
      <c r="Q37" s="34"/>
      <c r="R37" s="34"/>
      <c r="S37" s="34"/>
      <c r="T37" s="34"/>
      <c r="U37" s="34"/>
      <c r="V37" s="34"/>
      <c r="W37" s="34"/>
      <c r="X37" s="34"/>
    </row>
    <row r="38" spans="1:24" ht="42" customHeight="1" x14ac:dyDescent="0.25">
      <c r="A38" s="35"/>
      <c r="B38" s="39"/>
      <c r="C38" s="40"/>
      <c r="D38" s="41">
        <f>IFERROR(INDEX(WOMEN!$R:$R,MATCH(B38,WOMEN!$B:$B,0)),0)</f>
        <v>0</v>
      </c>
      <c r="E38" s="41">
        <f>IFERROR(INDEX(WOMEN!$R:$R,MATCH(C38,WOMEN!$B:$B,0)),0)</f>
        <v>0</v>
      </c>
      <c r="F38" s="41">
        <f t="shared" si="0"/>
        <v>0</v>
      </c>
      <c r="G38" s="33"/>
      <c r="H38" s="34"/>
      <c r="I38" s="34"/>
      <c r="J38" s="34"/>
      <c r="K38" s="34"/>
      <c r="L38" s="34"/>
      <c r="M38" s="34"/>
      <c r="N38" s="34"/>
      <c r="O38" s="34"/>
      <c r="P38" s="34"/>
      <c r="Q38" s="34"/>
      <c r="R38" s="34"/>
      <c r="S38" s="34"/>
      <c r="T38" s="34"/>
      <c r="U38" s="34"/>
      <c r="V38" s="34"/>
      <c r="W38" s="34"/>
      <c r="X38" s="34"/>
    </row>
    <row r="39" spans="1:24" ht="42" customHeight="1" x14ac:dyDescent="0.25">
      <c r="A39" s="35"/>
      <c r="B39" s="39"/>
      <c r="C39" s="40"/>
      <c r="D39" s="41">
        <f>IFERROR(INDEX(WOMEN!$R:$R,MATCH(B39,WOMEN!$B:$B,0)),0)</f>
        <v>0</v>
      </c>
      <c r="E39" s="41">
        <f>IFERROR(INDEX(WOMEN!$R:$R,MATCH(C39,WOMEN!$B:$B,0)),0)</f>
        <v>0</v>
      </c>
      <c r="F39" s="41">
        <f t="shared" si="0"/>
        <v>0</v>
      </c>
      <c r="G39" s="33"/>
      <c r="H39" s="34"/>
      <c r="I39" s="34"/>
      <c r="J39" s="34"/>
      <c r="K39" s="34"/>
      <c r="L39" s="34"/>
      <c r="M39" s="34"/>
      <c r="N39" s="34"/>
      <c r="O39" s="34"/>
      <c r="P39" s="34"/>
      <c r="Q39" s="34"/>
      <c r="R39" s="34"/>
      <c r="S39" s="34"/>
      <c r="T39" s="34"/>
      <c r="U39" s="34"/>
      <c r="V39" s="34"/>
      <c r="W39" s="34"/>
      <c r="X39" s="34"/>
    </row>
    <row r="40" spans="1:24" ht="42" customHeight="1" x14ac:dyDescent="0.25">
      <c r="A40" s="35"/>
      <c r="B40" s="39"/>
      <c r="C40" s="40"/>
      <c r="D40" s="41">
        <f>IFERROR(INDEX(WOMEN!$R:$R,MATCH(B40,WOMEN!$B:$B,0)),0)</f>
        <v>0</v>
      </c>
      <c r="E40" s="41">
        <f>IFERROR(INDEX(WOMEN!$R:$R,MATCH(C40,WOMEN!$B:$B,0)),0)</f>
        <v>0</v>
      </c>
      <c r="F40" s="41">
        <f t="shared" si="0"/>
        <v>0</v>
      </c>
      <c r="G40" s="33"/>
      <c r="H40" s="34"/>
      <c r="I40" s="34"/>
      <c r="J40" s="34"/>
      <c r="K40" s="34"/>
      <c r="L40" s="34"/>
      <c r="M40" s="34"/>
      <c r="N40" s="34"/>
      <c r="O40" s="34"/>
      <c r="P40" s="34"/>
      <c r="Q40" s="34"/>
      <c r="R40" s="34"/>
      <c r="S40" s="34"/>
      <c r="T40" s="34"/>
      <c r="U40" s="34"/>
      <c r="V40" s="34"/>
      <c r="W40" s="34"/>
      <c r="X40" s="34"/>
    </row>
    <row r="41" spans="1:24" ht="42" customHeight="1" x14ac:dyDescent="0.25">
      <c r="A41" s="35"/>
      <c r="B41" s="39"/>
      <c r="C41" s="40"/>
      <c r="D41" s="41">
        <f>IFERROR(INDEX(WOMEN!$R:$R,MATCH(B41,WOMEN!$B:$B,0)),0)</f>
        <v>0</v>
      </c>
      <c r="E41" s="41">
        <f>IFERROR(INDEX(WOMEN!$R:$R,MATCH(C41,WOMEN!$B:$B,0)),0)</f>
        <v>0</v>
      </c>
      <c r="F41" s="41">
        <f t="shared" si="0"/>
        <v>0</v>
      </c>
      <c r="G41" s="33"/>
      <c r="H41" s="34"/>
      <c r="I41" s="34"/>
      <c r="J41" s="34"/>
      <c r="K41" s="34"/>
      <c r="L41" s="34"/>
      <c r="M41" s="34"/>
      <c r="N41" s="34"/>
      <c r="O41" s="34"/>
      <c r="P41" s="34"/>
      <c r="Q41" s="34"/>
      <c r="R41" s="34"/>
      <c r="S41" s="34"/>
      <c r="T41" s="34"/>
      <c r="U41" s="34"/>
      <c r="V41" s="34"/>
      <c r="W41" s="34"/>
      <c r="X41" s="34"/>
    </row>
    <row r="42" spans="1:24" ht="42" customHeight="1" x14ac:dyDescent="0.25">
      <c r="A42" s="35"/>
      <c r="B42" s="39"/>
      <c r="C42" s="40"/>
      <c r="D42" s="41">
        <f>IFERROR(INDEX(WOMEN!$R:$R,MATCH(B42,WOMEN!$B:$B,0)),0)</f>
        <v>0</v>
      </c>
      <c r="E42" s="41">
        <f>IFERROR(INDEX(WOMEN!$R:$R,MATCH(C42,WOMEN!$B:$B,0)),0)</f>
        <v>0</v>
      </c>
      <c r="F42" s="41">
        <f t="shared" si="0"/>
        <v>0</v>
      </c>
      <c r="G42" s="33"/>
      <c r="H42" s="34"/>
      <c r="I42" s="34"/>
      <c r="J42" s="34"/>
      <c r="K42" s="34"/>
      <c r="L42" s="34"/>
      <c r="M42" s="34"/>
      <c r="N42" s="34"/>
      <c r="O42" s="34"/>
      <c r="P42" s="34"/>
      <c r="Q42" s="34"/>
      <c r="R42" s="34"/>
      <c r="S42" s="34"/>
      <c r="T42" s="34"/>
      <c r="U42" s="34"/>
      <c r="V42" s="34"/>
      <c r="W42" s="34"/>
      <c r="X42" s="34"/>
    </row>
    <row r="43" spans="1:24" ht="42" customHeight="1" x14ac:dyDescent="0.25">
      <c r="A43" s="35"/>
      <c r="B43" s="39"/>
      <c r="C43" s="40"/>
      <c r="D43" s="41">
        <f>IFERROR(INDEX(WOMEN!$R:$R,MATCH(B43,WOMEN!$B:$B,0)),0)</f>
        <v>0</v>
      </c>
      <c r="E43" s="41">
        <f>IFERROR(INDEX(WOMEN!$R:$R,MATCH(C43,WOMEN!$B:$B,0)),0)</f>
        <v>0</v>
      </c>
      <c r="F43" s="41">
        <f t="shared" si="0"/>
        <v>0</v>
      </c>
      <c r="G43" s="33"/>
      <c r="H43" s="34"/>
      <c r="I43" s="34"/>
      <c r="J43" s="34"/>
      <c r="K43" s="34"/>
      <c r="L43" s="34"/>
      <c r="M43" s="34"/>
      <c r="N43" s="34"/>
      <c r="O43" s="34"/>
      <c r="P43" s="34"/>
      <c r="Q43" s="34"/>
      <c r="R43" s="34"/>
      <c r="S43" s="34"/>
      <c r="T43" s="34"/>
      <c r="U43" s="34"/>
      <c r="V43" s="34"/>
      <c r="W43" s="34"/>
      <c r="X43" s="34"/>
    </row>
    <row r="44" spans="1:24" ht="42" customHeight="1" x14ac:dyDescent="0.25">
      <c r="A44" s="35"/>
      <c r="B44" s="39"/>
      <c r="C44" s="40"/>
      <c r="D44" s="41">
        <f>IFERROR(INDEX(WOMEN!$R:$R,MATCH(B44,WOMEN!$B:$B,0)),0)</f>
        <v>0</v>
      </c>
      <c r="E44" s="41">
        <f>IFERROR(INDEX(WOMEN!$R:$R,MATCH(C44,WOMEN!$B:$B,0)),0)</f>
        <v>0</v>
      </c>
      <c r="F44" s="41">
        <f t="shared" si="0"/>
        <v>0</v>
      </c>
      <c r="G44" s="33"/>
      <c r="H44" s="34"/>
      <c r="I44" s="34"/>
      <c r="J44" s="34"/>
      <c r="K44" s="34"/>
      <c r="L44" s="34"/>
      <c r="M44" s="34"/>
      <c r="N44" s="34"/>
      <c r="O44" s="34"/>
      <c r="P44" s="34"/>
      <c r="Q44" s="34"/>
      <c r="R44" s="34"/>
      <c r="S44" s="34"/>
      <c r="T44" s="34"/>
      <c r="U44" s="34"/>
      <c r="V44" s="34"/>
      <c r="W44" s="34"/>
      <c r="X44" s="34"/>
    </row>
    <row r="45" spans="1:24" ht="42" customHeight="1" x14ac:dyDescent="0.25">
      <c r="A45" s="35"/>
      <c r="B45" s="39"/>
      <c r="C45" s="40"/>
      <c r="D45" s="41">
        <f>IFERROR(INDEX(WOMEN!$R:$R,MATCH(B45,WOMEN!$B:$B,0)),0)</f>
        <v>0</v>
      </c>
      <c r="E45" s="41">
        <f>IFERROR(INDEX(WOMEN!$R:$R,MATCH(C45,WOMEN!$B:$B,0)),0)</f>
        <v>0</v>
      </c>
      <c r="F45" s="41">
        <f t="shared" si="0"/>
        <v>0</v>
      </c>
      <c r="G45" s="33"/>
      <c r="H45" s="34"/>
      <c r="I45" s="34"/>
      <c r="J45" s="34"/>
      <c r="K45" s="34"/>
      <c r="L45" s="34"/>
      <c r="M45" s="34"/>
      <c r="N45" s="34"/>
      <c r="O45" s="34"/>
      <c r="P45" s="34"/>
      <c r="Q45" s="34"/>
      <c r="R45" s="34"/>
      <c r="S45" s="34"/>
      <c r="T45" s="34"/>
      <c r="U45" s="34"/>
      <c r="V45" s="34"/>
      <c r="W45" s="34"/>
      <c r="X45" s="34"/>
    </row>
    <row r="46" spans="1:24" ht="42" customHeight="1" x14ac:dyDescent="0.25">
      <c r="A46" s="35"/>
      <c r="B46" s="39"/>
      <c r="C46" s="40"/>
      <c r="D46" s="41">
        <f>IFERROR(INDEX(WOMEN!$R:$R,MATCH(B46,WOMEN!$B:$B,0)),0)</f>
        <v>0</v>
      </c>
      <c r="E46" s="41">
        <f>IFERROR(INDEX(WOMEN!$R:$R,MATCH(C46,WOMEN!$B:$B,0)),0)</f>
        <v>0</v>
      </c>
      <c r="F46" s="41">
        <f t="shared" si="0"/>
        <v>0</v>
      </c>
      <c r="G46" s="33"/>
      <c r="H46" s="34"/>
      <c r="I46" s="34"/>
      <c r="J46" s="34"/>
      <c r="K46" s="34"/>
      <c r="L46" s="34"/>
      <c r="M46" s="34"/>
      <c r="N46" s="34"/>
      <c r="O46" s="34"/>
      <c r="P46" s="34"/>
      <c r="Q46" s="34"/>
      <c r="R46" s="34"/>
      <c r="S46" s="34"/>
      <c r="T46" s="34"/>
      <c r="U46" s="34"/>
      <c r="V46" s="34"/>
      <c r="W46" s="34"/>
      <c r="X46" s="34"/>
    </row>
    <row r="47" spans="1:24" ht="42" customHeight="1" x14ac:dyDescent="0.25">
      <c r="A47" s="35"/>
      <c r="B47" s="39"/>
      <c r="C47" s="40"/>
      <c r="D47" s="41">
        <f>IFERROR(INDEX(WOMEN!$R:$R,MATCH(B47,WOMEN!$B:$B,0)),0)</f>
        <v>0</v>
      </c>
      <c r="E47" s="41">
        <f>IFERROR(INDEX(WOMEN!$R:$R,MATCH(C47,WOMEN!$B:$B,0)),0)</f>
        <v>0</v>
      </c>
      <c r="F47" s="41">
        <f t="shared" si="0"/>
        <v>0</v>
      </c>
      <c r="G47" s="33"/>
      <c r="H47" s="34"/>
      <c r="I47" s="34"/>
      <c r="J47" s="34"/>
      <c r="K47" s="34"/>
      <c r="L47" s="34"/>
      <c r="M47" s="34"/>
      <c r="N47" s="34"/>
      <c r="O47" s="34"/>
      <c r="P47" s="34"/>
      <c r="Q47" s="34"/>
      <c r="R47" s="34"/>
      <c r="S47" s="34"/>
      <c r="T47" s="34"/>
      <c r="U47" s="34"/>
      <c r="V47" s="34"/>
      <c r="W47" s="34"/>
      <c r="X47" s="34"/>
    </row>
    <row r="48" spans="1:24" ht="42" customHeight="1" x14ac:dyDescent="0.25">
      <c r="A48" s="35"/>
      <c r="B48" s="39"/>
      <c r="C48" s="40"/>
      <c r="D48" s="41">
        <f>IFERROR(INDEX(WOMEN!$R:$R,MATCH(B48,WOMEN!$B:$B,0)),0)</f>
        <v>0</v>
      </c>
      <c r="E48" s="41">
        <f>IFERROR(INDEX(WOMEN!$R:$R,MATCH(C48,WOMEN!$B:$B,0)),0)</f>
        <v>0</v>
      </c>
      <c r="F48" s="41">
        <f t="shared" si="0"/>
        <v>0</v>
      </c>
      <c r="G48" s="33"/>
      <c r="H48" s="34"/>
      <c r="I48" s="34"/>
      <c r="J48" s="34"/>
      <c r="K48" s="34"/>
      <c r="L48" s="34"/>
      <c r="M48" s="34"/>
      <c r="N48" s="34"/>
      <c r="O48" s="34"/>
      <c r="P48" s="34"/>
      <c r="Q48" s="34"/>
      <c r="R48" s="34"/>
      <c r="S48" s="34"/>
      <c r="T48" s="34"/>
      <c r="U48" s="34"/>
      <c r="V48" s="34"/>
      <c r="W48" s="34"/>
      <c r="X48" s="34"/>
    </row>
    <row r="49" spans="1:24" ht="42" customHeight="1" x14ac:dyDescent="0.25">
      <c r="A49" s="35"/>
      <c r="B49" s="39"/>
      <c r="C49" s="40"/>
      <c r="D49" s="41">
        <f>IFERROR(INDEX(WOMEN!$R:$R,MATCH(B49,WOMEN!$B:$B,0)),0)</f>
        <v>0</v>
      </c>
      <c r="E49" s="41">
        <f>IFERROR(INDEX(WOMEN!$R:$R,MATCH(C49,WOMEN!$B:$B,0)),0)</f>
        <v>0</v>
      </c>
      <c r="F49" s="41">
        <f t="shared" si="0"/>
        <v>0</v>
      </c>
      <c r="G49" s="33"/>
      <c r="H49" s="34"/>
      <c r="I49" s="34"/>
      <c r="J49" s="34"/>
      <c r="K49" s="34"/>
      <c r="L49" s="34"/>
      <c r="M49" s="34"/>
      <c r="N49" s="34"/>
      <c r="O49" s="34"/>
      <c r="P49" s="34"/>
      <c r="Q49" s="34"/>
      <c r="R49" s="34"/>
      <c r="S49" s="34"/>
      <c r="T49" s="34"/>
      <c r="U49" s="34"/>
      <c r="V49" s="34"/>
      <c r="W49" s="34"/>
      <c r="X49" s="34"/>
    </row>
  </sheetData>
  <mergeCells count="2">
    <mergeCell ref="A2:F2"/>
    <mergeCell ref="D3:E3"/>
  </mergeCells>
  <conditionalFormatting sqref="B1:B1048576">
    <cfRule type="duplicateValues" dxfId="1" priority="2"/>
  </conditionalFormatting>
  <conditionalFormatting sqref="B1:C1048576">
    <cfRule type="duplicateValues" dxfId="0" priority="3"/>
  </conditionalFormatting>
  <pageMargins left="0.70833333333333304" right="0.70833333333333304" top="0.94513888888888897" bottom="0.74791666666666701" header="0.511811023622047" footer="0.511811023622047"/>
  <pageSetup scale="26"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148" r:id="rId4" name="Button 1">
              <controlPr defaultSize="0" autoFill="0" autoPict="0" macro="Module1.SortAndRank" altText="Sort ">
                <anchor moveWithCells="1">
                  <from>
                    <xdr:col>6</xdr:col>
                    <xdr:colOff>95250</xdr:colOff>
                    <xdr:row>1</xdr:row>
                    <xdr:rowOff>114300</xdr:rowOff>
                  </from>
                  <to>
                    <xdr:col>7</xdr:col>
                    <xdr:colOff>209550</xdr:colOff>
                    <xdr:row>2</xdr:row>
                    <xdr:rowOff>-57150</xdr:rowOff>
                  </to>
                </anchor>
              </controlPr>
            </control>
          </mc:Choice>
        </mc:AlternateContent>
        <mc:AlternateContent xmlns:mc="http://schemas.openxmlformats.org/markup-compatibility/2006">
          <mc:Choice Requires="x14">
            <control shapeId="6149" r:id="rId5" name="Button 3">
              <controlPr defaultSize="0" autoFill="0" autoPict="0" macro="Module3.ExportToXLSX" altText="Export">
                <anchor moveWithCells="1">
                  <from>
                    <xdr:col>6</xdr:col>
                    <xdr:colOff>95250</xdr:colOff>
                    <xdr:row>2</xdr:row>
                    <xdr:rowOff>66675</xdr:rowOff>
                  </from>
                  <to>
                    <xdr:col>7</xdr:col>
                    <xdr:colOff>209550</xdr:colOff>
                    <xdr:row>3</xdr:row>
                    <xdr:rowOff>-104775</xdr:rowOff>
                  </to>
                </anchor>
              </controlPr>
            </control>
          </mc:Choice>
        </mc:AlternateContent>
        <mc:AlternateContent xmlns:mc="http://schemas.openxmlformats.org/markup-compatibility/2006">
          <mc:Choice Requires="x14">
            <control shapeId="6150" r:id="rId6" name="Button 2">
              <controlPr defaultSize="0" autoFill="0" autoPict="0" macro="Module2.ClearData" altText="Clear ">
                <anchor moveWithCells="1">
                  <from>
                    <xdr:col>6</xdr:col>
                    <xdr:colOff>95250</xdr:colOff>
                    <xdr:row>2</xdr:row>
                    <xdr:rowOff>514350</xdr:rowOff>
                  </from>
                  <to>
                    <xdr:col>7</xdr:col>
                    <xdr:colOff>209550</xdr:colOff>
                    <xdr:row>3</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F42"/>
  <sheetViews>
    <sheetView showGridLines="0" view="pageBreakPreview" zoomScaleNormal="100" workbookViewId="0">
      <selection activeCell="G8" sqref="G8"/>
    </sheetView>
  </sheetViews>
  <sheetFormatPr defaultColWidth="8.7109375" defaultRowHeight="15" x14ac:dyDescent="0.25"/>
  <cols>
    <col min="1" max="1" width="26" customWidth="1"/>
    <col min="2" max="6" width="20" customWidth="1"/>
  </cols>
  <sheetData>
    <row r="1" spans="1:6" ht="24" customHeight="1" x14ac:dyDescent="0.25">
      <c r="A1" s="58" t="s">
        <v>411</v>
      </c>
      <c r="B1" s="58"/>
      <c r="C1" s="58"/>
      <c r="D1" s="58"/>
      <c r="E1" s="58"/>
      <c r="F1" s="58"/>
    </row>
    <row r="3" spans="1:6" ht="17.25" x14ac:dyDescent="0.25">
      <c r="A3" s="42" t="s">
        <v>412</v>
      </c>
    </row>
    <row r="4" spans="1:6" ht="60" customHeight="1" x14ac:dyDescent="0.25">
      <c r="A4" s="56" t="s">
        <v>413</v>
      </c>
      <c r="B4" s="56"/>
      <c r="C4" s="56"/>
      <c r="D4" s="56"/>
      <c r="E4" s="56"/>
      <c r="F4" s="56"/>
    </row>
    <row r="6" spans="1:6" ht="17.25" x14ac:dyDescent="0.25">
      <c r="A6" s="42" t="s">
        <v>414</v>
      </c>
    </row>
    <row r="7" spans="1:6" x14ac:dyDescent="0.25">
      <c r="A7" s="43" t="s">
        <v>415</v>
      </c>
      <c r="B7" s="43" t="s">
        <v>416</v>
      </c>
      <c r="C7" s="43" t="s">
        <v>417</v>
      </c>
    </row>
    <row r="8" spans="1:6" ht="30" x14ac:dyDescent="0.25">
      <c r="A8" s="44" t="s">
        <v>418</v>
      </c>
      <c r="B8" s="44" t="s">
        <v>419</v>
      </c>
      <c r="C8" s="44" t="s">
        <v>420</v>
      </c>
    </row>
    <row r="9" spans="1:6" ht="30" x14ac:dyDescent="0.25">
      <c r="A9" s="44" t="s">
        <v>421</v>
      </c>
      <c r="B9" s="44" t="s">
        <v>422</v>
      </c>
      <c r="C9" s="44" t="s">
        <v>420</v>
      </c>
    </row>
    <row r="10" spans="1:6" ht="45" x14ac:dyDescent="0.25">
      <c r="A10" s="44" t="s">
        <v>423</v>
      </c>
      <c r="B10" s="44" t="s">
        <v>424</v>
      </c>
      <c r="C10" s="44" t="s">
        <v>425</v>
      </c>
    </row>
    <row r="11" spans="1:6" ht="45" x14ac:dyDescent="0.25">
      <c r="A11" s="44" t="s">
        <v>426</v>
      </c>
      <c r="B11" s="44" t="s">
        <v>427</v>
      </c>
      <c r="C11" s="44" t="s">
        <v>425</v>
      </c>
    </row>
    <row r="12" spans="1:6" ht="45" x14ac:dyDescent="0.25">
      <c r="A12" s="44" t="s">
        <v>428</v>
      </c>
      <c r="B12" s="44" t="s">
        <v>429</v>
      </c>
      <c r="C12" s="44" t="s">
        <v>425</v>
      </c>
    </row>
    <row r="14" spans="1:6" ht="45" customHeight="1" x14ac:dyDescent="0.25">
      <c r="A14" s="56" t="s">
        <v>430</v>
      </c>
      <c r="B14" s="56"/>
      <c r="C14" s="56"/>
      <c r="D14" s="56"/>
      <c r="E14" s="56"/>
      <c r="F14" s="56"/>
    </row>
    <row r="16" spans="1:6" ht="30" customHeight="1" x14ac:dyDescent="0.25">
      <c r="A16" s="56" t="s">
        <v>431</v>
      </c>
      <c r="B16" s="56"/>
      <c r="C16" s="56"/>
      <c r="D16" s="56"/>
      <c r="E16" s="56"/>
      <c r="F16" s="56"/>
    </row>
    <row r="18" spans="1:6" ht="34.5" x14ac:dyDescent="0.25">
      <c r="A18" s="42" t="s">
        <v>432</v>
      </c>
    </row>
    <row r="19" spans="1:6" ht="45" customHeight="1" x14ac:dyDescent="0.25">
      <c r="A19" s="56" t="s">
        <v>433</v>
      </c>
      <c r="B19" s="56"/>
      <c r="C19" s="56"/>
      <c r="D19" s="56"/>
      <c r="E19" s="56"/>
      <c r="F19" s="56"/>
    </row>
    <row r="21" spans="1:6" ht="31.5" x14ac:dyDescent="0.25">
      <c r="A21" s="45" t="s">
        <v>434</v>
      </c>
    </row>
    <row r="22" spans="1:6" x14ac:dyDescent="0.25">
      <c r="A22" s="57">
        <f>IFERROR(INDEX(MEN!$R:$R, MATCH(B4, MEN!$B:$B, 0)), 0)</f>
        <v>0</v>
      </c>
      <c r="B22" s="57"/>
      <c r="C22" s="57"/>
      <c r="D22" s="57"/>
      <c r="E22" s="57"/>
      <c r="F22" s="57"/>
    </row>
    <row r="23" spans="1:6" ht="30" customHeight="1" x14ac:dyDescent="0.25">
      <c r="A23" s="56" t="s">
        <v>435</v>
      </c>
      <c r="B23" s="56"/>
      <c r="C23" s="56"/>
      <c r="D23" s="56"/>
      <c r="E23" s="56"/>
      <c r="F23" s="56"/>
    </row>
    <row r="25" spans="1:6" ht="17.25" x14ac:dyDescent="0.25">
      <c r="A25" s="42" t="s">
        <v>436</v>
      </c>
    </row>
    <row r="26" spans="1:6" ht="15" customHeight="1" x14ac:dyDescent="0.25">
      <c r="A26" s="56" t="s">
        <v>437</v>
      </c>
      <c r="B26" s="56"/>
      <c r="C26" s="56"/>
      <c r="D26" s="56"/>
      <c r="E26" s="56"/>
      <c r="F26" s="56"/>
    </row>
    <row r="27" spans="1:6" ht="30" customHeight="1" x14ac:dyDescent="0.25">
      <c r="A27" s="56" t="s">
        <v>438</v>
      </c>
      <c r="B27" s="56"/>
      <c r="C27" s="56"/>
      <c r="D27" s="56"/>
      <c r="E27" s="56"/>
      <c r="F27" s="56"/>
    </row>
    <row r="28" spans="1:6" ht="30" customHeight="1" x14ac:dyDescent="0.25">
      <c r="A28" s="56" t="s">
        <v>439</v>
      </c>
      <c r="B28" s="56"/>
      <c r="C28" s="56"/>
      <c r="D28" s="56"/>
      <c r="E28" s="56"/>
      <c r="F28" s="56"/>
    </row>
    <row r="29" spans="1:6" ht="45" customHeight="1" x14ac:dyDescent="0.25">
      <c r="A29" s="55" t="s">
        <v>440</v>
      </c>
      <c r="B29" s="55"/>
      <c r="C29" s="55"/>
      <c r="D29" s="55"/>
      <c r="E29" s="55"/>
      <c r="F29" s="55"/>
    </row>
    <row r="31" spans="1:6" ht="34.5" x14ac:dyDescent="0.25">
      <c r="A31" s="42" t="s">
        <v>441</v>
      </c>
    </row>
    <row r="32" spans="1:6" ht="30" customHeight="1" x14ac:dyDescent="0.25">
      <c r="A32" s="56" t="s">
        <v>442</v>
      </c>
      <c r="B32" s="56"/>
      <c r="C32" s="56"/>
      <c r="D32" s="56"/>
      <c r="E32" s="56"/>
      <c r="F32" s="56"/>
    </row>
    <row r="33" spans="1:6" ht="15" customHeight="1" x14ac:dyDescent="0.25">
      <c r="A33" s="56" t="s">
        <v>443</v>
      </c>
      <c r="B33" s="56"/>
      <c r="C33" s="56"/>
      <c r="D33" s="56"/>
      <c r="E33" s="56"/>
      <c r="F33" s="56"/>
    </row>
    <row r="34" spans="1:6" ht="15" customHeight="1" x14ac:dyDescent="0.25">
      <c r="A34" s="56" t="s">
        <v>444</v>
      </c>
      <c r="B34" s="56"/>
      <c r="C34" s="56"/>
      <c r="D34" s="56"/>
      <c r="E34" s="56"/>
      <c r="F34" s="56"/>
    </row>
    <row r="35" spans="1:6" ht="30" customHeight="1" x14ac:dyDescent="0.25">
      <c r="A35" s="56" t="s">
        <v>445</v>
      </c>
      <c r="B35" s="56"/>
      <c r="C35" s="56"/>
      <c r="D35" s="56"/>
      <c r="E35" s="56"/>
      <c r="F35" s="56"/>
    </row>
    <row r="37" spans="1:6" ht="17.25" x14ac:dyDescent="0.25">
      <c r="A37" s="42" t="s">
        <v>446</v>
      </c>
    </row>
    <row r="38" spans="1:6" ht="30" customHeight="1" x14ac:dyDescent="0.25">
      <c r="A38" s="55" t="s">
        <v>447</v>
      </c>
      <c r="B38" s="55"/>
      <c r="C38" s="55"/>
      <c r="D38" s="55"/>
      <c r="E38" s="55"/>
      <c r="F38" s="55"/>
    </row>
    <row r="39" spans="1:6" ht="30" customHeight="1" x14ac:dyDescent="0.25">
      <c r="A39" s="55" t="s">
        <v>448</v>
      </c>
      <c r="B39" s="55"/>
      <c r="C39" s="55"/>
      <c r="D39" s="55"/>
      <c r="E39" s="55"/>
      <c r="F39" s="55"/>
    </row>
    <row r="41" spans="1:6" ht="34.5" x14ac:dyDescent="0.25">
      <c r="A41" s="42" t="s">
        <v>449</v>
      </c>
    </row>
    <row r="42" spans="1:6" ht="45" customHeight="1" x14ac:dyDescent="0.25">
      <c r="A42" s="56" t="s">
        <v>450</v>
      </c>
      <c r="B42" s="56"/>
      <c r="C42" s="56"/>
      <c r="D42" s="56"/>
      <c r="E42" s="56"/>
      <c r="F42" s="56"/>
    </row>
  </sheetData>
  <mergeCells count="18">
    <mergeCell ref="A1:F1"/>
    <mergeCell ref="A4:F4"/>
    <mergeCell ref="A14:F14"/>
    <mergeCell ref="A16:F16"/>
    <mergeCell ref="A19:F19"/>
    <mergeCell ref="A22:F22"/>
    <mergeCell ref="A23:F23"/>
    <mergeCell ref="A26:F26"/>
    <mergeCell ref="A27:F27"/>
    <mergeCell ref="A28:F28"/>
    <mergeCell ref="A38:F38"/>
    <mergeCell ref="A39:F39"/>
    <mergeCell ref="A42:F42"/>
    <mergeCell ref="A29:F29"/>
    <mergeCell ref="A32:F32"/>
    <mergeCell ref="A33:F33"/>
    <mergeCell ref="A34:F34"/>
    <mergeCell ref="A35:F35"/>
  </mergeCells>
  <pageMargins left="0.75" right="0.75" top="1" bottom="1" header="0.511811023622047" footer="0.511811023622047"/>
  <pageSetup paperSize="9" scale="64" orientation="portrait" horizontalDpi="300" verticalDpi="300" r:id="rId1"/>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Φύλλα εργασίας</vt:lpstr>
      </vt:variant>
      <vt:variant>
        <vt:i4>7</vt:i4>
      </vt:variant>
      <vt:variant>
        <vt:lpstr>Καθορισμένες περιοχές</vt:lpstr>
      </vt:variant>
      <vt:variant>
        <vt:i4>6</vt:i4>
      </vt:variant>
    </vt:vector>
  </HeadingPairs>
  <TitlesOfParts>
    <vt:vector size="13" baseType="lpstr">
      <vt:lpstr>MEN</vt:lpstr>
      <vt:lpstr>WOMEN</vt:lpstr>
      <vt:lpstr>MEN PRIZES</vt:lpstr>
      <vt:lpstr>WOMEN PRIZES</vt:lpstr>
      <vt:lpstr>MEN_ENTRY</vt:lpstr>
      <vt:lpstr>WOMEN_ENTRY</vt:lpstr>
      <vt:lpstr>ΟΔΗΓΙΕΣ</vt:lpstr>
      <vt:lpstr>MEN!Print_Area</vt:lpstr>
      <vt:lpstr>'MEN PRIZES'!Print_Area</vt:lpstr>
      <vt:lpstr>MEN_ENTRY!Print_Area</vt:lpstr>
      <vt:lpstr>WOMEN!Print_Area</vt:lpstr>
      <vt:lpstr>'WOMEN PRIZES'!Print_Area</vt:lpstr>
      <vt:lpstr>WOMEN_ENTRY!Print_Area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Administrator</dc:creator>
  <dc:description/>
  <cp:lastModifiedBy>Ioannis Tsimpinos</cp:lastModifiedBy>
  <cp:revision>1</cp:revision>
  <cp:lastPrinted>2026-08-08T17:52:15Z</cp:lastPrinted>
  <dcterms:created xsi:type="dcterms:W3CDTF">2006-09-16T00:00:00Z</dcterms:created>
  <dcterms:modified xsi:type="dcterms:W3CDTF">2026-08-10T19:57:19Z</dcterms:modified>
  <dc:language>en-US</dc:language>
</cp:coreProperties>
</file>